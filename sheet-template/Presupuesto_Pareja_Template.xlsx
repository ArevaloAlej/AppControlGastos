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" state="veryHidden" r:id="rId4"/>
    <sheet sheetId="2" name="Movimientos" state="visible" r:id="rId5"/>
    <sheet sheetId="3" name="Deudas" state="visible" r:id="rId6"/>
    <sheet sheetId="4" name="Tasas_Cambio" state="visible" r:id="rId7"/>
    <sheet sheetId="5" name="Usuarios" state="visible" r:id="rId8"/>
    <sheet sheetId="6" name="Conversiones_USDT" state="visible" r:id="rId9"/>
    <sheet sheetId="7" name="Push_Subscripciones" state="visible" r:id="rId10"/>
    <sheet sheetId="8" name="Resumen" state="visible" r:id="rId11"/>
  </sheets>
  <calcPr calcId="171027"/>
</workbook>
</file>

<file path=xl/sharedStrings.xml><?xml version="1.0" encoding="utf-8"?>
<sst xmlns="http://schemas.openxmlformats.org/spreadsheetml/2006/main" count="123" uniqueCount="92">
  <si>
    <t>Categorias</t>
  </si>
  <si>
    <t>Usuarios</t>
  </si>
  <si>
    <t>Alimentación</t>
  </si>
  <si>
    <t>admin</t>
  </si>
  <si>
    <t>Transporte</t>
  </si>
  <si>
    <t>pareja</t>
  </si>
  <si>
    <t>Servicios</t>
  </si>
  <si>
    <t>Vivienda/alquiler</t>
  </si>
  <si>
    <t>Salud</t>
  </si>
  <si>
    <t>Entretenimiento</t>
  </si>
  <si>
    <t>Cuidado personal</t>
  </si>
  <si>
    <t>Educación</t>
  </si>
  <si>
    <t>Deudas/pagos</t>
  </si>
  <si>
    <t>Mascotas</t>
  </si>
  <si>
    <t>Otros</t>
  </si>
  <si>
    <t>Sueldo/salario</t>
  </si>
  <si>
    <t>Freelance/ingresos extra</t>
  </si>
  <si>
    <t>Regalos/ayudas</t>
  </si>
  <si>
    <t>id</t>
  </si>
  <si>
    <t>fecha</t>
  </si>
  <si>
    <t>usuario</t>
  </si>
  <si>
    <t>tipo</t>
  </si>
  <si>
    <t>categoria</t>
  </si>
  <si>
    <t>monto_bs</t>
  </si>
  <si>
    <t>tasa_bcv_dia</t>
  </si>
  <si>
    <t>monto_usd</t>
  </si>
  <si>
    <t>nota</t>
  </si>
  <si>
    <t>timestamp_registro</t>
  </si>
  <si>
    <t>id/tasa_bcv_dia/monto_usd/timestamp_registro los llena Apps Script automáticamente</t>
  </si>
  <si>
    <t>ejemplo-no-borrar</t>
  </si>
  <si>
    <t>2026-07-17</t>
  </si>
  <si>
    <t>gasto</t>
  </si>
  <si>
    <t>Ejemplo de formato — puedes borrar esta fila</t>
  </si>
  <si>
    <t>2026-07-17 10:00:00</t>
  </si>
  <si>
    <t>descripcion</t>
  </si>
  <si>
    <t>monto_original</t>
  </si>
  <si>
    <t>moneda</t>
  </si>
  <si>
    <t>saldo_pendiente</t>
  </si>
  <si>
    <t>fecha_vencimiento</t>
  </si>
  <si>
    <t>estado</t>
  </si>
  <si>
    <t>usuario_responsable</t>
  </si>
  <si>
    <t>Ejemplo: préstamo carro</t>
  </si>
  <si>
    <t>USD</t>
  </si>
  <si>
    <t>2027-01-15</t>
  </si>
  <si>
    <t>pendiente</t>
  </si>
  <si>
    <t>tasa_bcv</t>
  </si>
  <si>
    <t>Hoja administrada automáticamente por Apps Script (caché diario de la tasa BCV)</t>
  </si>
  <si>
    <t>usuario_id</t>
  </si>
  <si>
    <t>nombre</t>
  </si>
  <si>
    <t>rol</t>
  </si>
  <si>
    <t>pin_acceso</t>
  </si>
  <si>
    <t>Cambia los PIN de ejemplo antes de usar la app</t>
  </si>
  <si>
    <t>Admin</t>
  </si>
  <si>
    <t>Pareja</t>
  </si>
  <si>
    <t>monto_usdt</t>
  </si>
  <si>
    <t>tasa_usdt_bs</t>
  </si>
  <si>
    <t>monto_bs_resultante</t>
  </si>
  <si>
    <t>plataforma</t>
  </si>
  <si>
    <t>origen_fondos</t>
  </si>
  <si>
    <t>Tu libro de cambio manual — distinto de la tasa BCV oficial</t>
  </si>
  <si>
    <t>Binance</t>
  </si>
  <si>
    <t>Banesco Panamá</t>
  </si>
  <si>
    <t>endpoint</t>
  </si>
  <si>
    <t>p256dh</t>
  </si>
  <si>
    <t>auth</t>
  </si>
  <si>
    <t>fecha_registro</t>
  </si>
  <si>
    <t>Hoja administrada automáticamente por Apps Script (suscripciones Web Push)</t>
  </si>
  <si>
    <t>Resumen consolidado (solo admin)</t>
  </si>
  <si>
    <t>Totales por usuario</t>
  </si>
  <si>
    <t>Usuario</t>
  </si>
  <si>
    <t>Gastos (Bs)</t>
  </si>
  <si>
    <t>Ingresos (Bs)</t>
  </si>
  <si>
    <t>Balance (Bs)</t>
  </si>
  <si>
    <t>Balance (USD)</t>
  </si>
  <si>
    <t>Balance general</t>
  </si>
  <si>
    <t>Total ingresos (Bs)</t>
  </si>
  <si>
    <t>Total gastos (Bs)</t>
  </si>
  <si>
    <t>Balance neto (Bs)</t>
  </si>
  <si>
    <t>Gastos por categoría (Bs)</t>
  </si>
  <si>
    <t>Categoría</t>
  </si>
  <si>
    <t>Total (Bs)</t>
  </si>
  <si>
    <t>Estado de deudas</t>
  </si>
  <si>
    <t>Estado</t>
  </si>
  <si>
    <t>Cantidad</t>
  </si>
  <si>
    <t>pagada</t>
  </si>
  <si>
    <t>vencida</t>
  </si>
  <si>
    <t>parcial</t>
  </si>
  <si>
    <t>Saldo pendiente total (Bs)</t>
  </si>
  <si>
    <t>Saldo pendiente total (USD)</t>
  </si>
  <si>
    <t>Tasa BCV vs. tu tasa real USDT→Bs (referencial)</t>
  </si>
  <si>
    <t>Tasa BCV más reciente</t>
  </si>
  <si>
    <t>Tu tasa USDT→Bs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</si>
</sst>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;&quot;-&quot;"/>
  </numFmts>
  <fonts count="8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i/>
      <color rgb="FF808080"/>
      <sz val="9"/>
      <name val="Arial"/>
    </font>
    <font>
      <i/>
      <color rgb="FF808080"/>
      <name val="Arial"/>
    </font>
    <font>
      <name val="Arial"/>
    </font>
    <font>
      <b/>
      <sz val="13"/>
      <name val="Arial"/>
    </font>
    <font>
      <b/>
      <color rgb="FF2563EB"/>
      <sz val="11"/>
      <name val="Arial"/>
    </font>
    <font>
      <b/>
      <name val="Arial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164" fontId="4" fillId="0" borderId="0" xfId="0" applyNumberFormat="1" applyFont="1"/>
    <xf numFmtId="164" fontId="0" fillId="0" borderId="0" xfId="0" applyNumberFormat="1"/>
    <xf numFmtId="0" fontId="7" fillId="0" borderId="0" xfId="0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6" width="14" customWidth="1"/>
    <col min="7" max="7" width="16" customWidth="1"/>
    <col min="8" max="8" width="14" customWidth="1"/>
    <col min="9" max="9" width="30" customWidth="1"/>
    <col min="10" max="10" width="20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L1" s="2" t="s">
        <v>28</v>
      </c>
    </row>
    <row r="2" spans="1:10" x14ac:dyDescent="0.25">
      <c r="A2" s="3" t="s">
        <v>29</v>
      </c>
      <c r="B2" s="3" t="s">
        <v>30</v>
      </c>
      <c r="C2" s="3" t="s">
        <v>3</v>
      </c>
      <c r="D2" s="3" t="s">
        <v>31</v>
      </c>
      <c r="E2" s="3" t="s">
        <v>2</v>
      </c>
      <c r="F2" s="3">
        <v>450</v>
      </c>
      <c r="G2" s="3">
        <v>200</v>
      </c>
      <c r="H2" s="3">
        <v>2.25</v>
      </c>
      <c r="I2" s="3" t="s">
        <v>32</v>
      </c>
      <c r="J2" s="3" t="s">
        <v>33</v>
      </c>
    </row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  <row r="301" spans="3:5" x14ac:dyDescent="0.25"/>
    <row r="302" spans="3:5" x14ac:dyDescent="0.25"/>
    <row r="303" spans="3:5" x14ac:dyDescent="0.25"/>
    <row r="304" spans="3:5" x14ac:dyDescent="0.25"/>
    <row r="305" spans="3:5" x14ac:dyDescent="0.25"/>
    <row r="306" spans="3:5" x14ac:dyDescent="0.25"/>
    <row r="307" spans="3:5" x14ac:dyDescent="0.25"/>
    <row r="308" spans="3:5" x14ac:dyDescent="0.25"/>
    <row r="309" spans="3:5" x14ac:dyDescent="0.25"/>
    <row r="310" spans="3:5" x14ac:dyDescent="0.25"/>
    <row r="311" spans="3:5" x14ac:dyDescent="0.25"/>
    <row r="312" spans="3:5" x14ac:dyDescent="0.25"/>
    <row r="313" spans="3:5" x14ac:dyDescent="0.25"/>
    <row r="314" spans="3:5" x14ac:dyDescent="0.25"/>
    <row r="315" spans="3:5" x14ac:dyDescent="0.25"/>
    <row r="316" spans="3:5" x14ac:dyDescent="0.25"/>
    <row r="317" spans="3:5" x14ac:dyDescent="0.25"/>
    <row r="318" spans="3:5" x14ac:dyDescent="0.25"/>
    <row r="319" spans="3:5" x14ac:dyDescent="0.25"/>
    <row r="320" spans="3:5" x14ac:dyDescent="0.25"/>
    <row r="321" spans="3:5" x14ac:dyDescent="0.25"/>
    <row r="322" spans="3:5" x14ac:dyDescent="0.25"/>
    <row r="323" spans="3:5" x14ac:dyDescent="0.25"/>
    <row r="324" spans="3:5" x14ac:dyDescent="0.25"/>
    <row r="325" spans="3:5" x14ac:dyDescent="0.25"/>
    <row r="326" spans="3:5" x14ac:dyDescent="0.25"/>
    <row r="327" spans="3:5" x14ac:dyDescent="0.25"/>
    <row r="328" spans="3:5" x14ac:dyDescent="0.25"/>
    <row r="329" spans="3:5" x14ac:dyDescent="0.25"/>
    <row r="330" spans="3:5" x14ac:dyDescent="0.25"/>
    <row r="331" spans="3:5" x14ac:dyDescent="0.25"/>
    <row r="332" spans="3:5" x14ac:dyDescent="0.25"/>
    <row r="333" spans="3:5" x14ac:dyDescent="0.25"/>
    <row r="334" spans="3:5" x14ac:dyDescent="0.25"/>
    <row r="335" spans="3:5" x14ac:dyDescent="0.25"/>
    <row r="336" spans="3:5" x14ac:dyDescent="0.25"/>
    <row r="337" spans="3:5" x14ac:dyDescent="0.25"/>
    <row r="338" spans="3:5" x14ac:dyDescent="0.25"/>
    <row r="339" spans="3:5" x14ac:dyDescent="0.25"/>
    <row r="340" spans="3:5" x14ac:dyDescent="0.25"/>
    <row r="341" spans="3:5" x14ac:dyDescent="0.25"/>
    <row r="342" spans="3:5" x14ac:dyDescent="0.25"/>
    <row r="343" spans="3:5" x14ac:dyDescent="0.25"/>
    <row r="344" spans="3:5" x14ac:dyDescent="0.25"/>
    <row r="345" spans="3:5" x14ac:dyDescent="0.25"/>
    <row r="346" spans="3:5" x14ac:dyDescent="0.25"/>
    <row r="347" spans="3:5" x14ac:dyDescent="0.25"/>
    <row r="348" spans="3:5" x14ac:dyDescent="0.25"/>
    <row r="349" spans="3:5" x14ac:dyDescent="0.25"/>
    <row r="350" spans="3:5" x14ac:dyDescent="0.25"/>
    <row r="351" spans="3:5" x14ac:dyDescent="0.25"/>
    <row r="352" spans="3:5" x14ac:dyDescent="0.25"/>
    <row r="353" spans="3:5" x14ac:dyDescent="0.25"/>
    <row r="354" spans="3:5" x14ac:dyDescent="0.25"/>
    <row r="355" spans="3:5" x14ac:dyDescent="0.25"/>
    <row r="356" spans="3:5" x14ac:dyDescent="0.25"/>
    <row r="357" spans="3:5" x14ac:dyDescent="0.25"/>
    <row r="358" spans="3:5" x14ac:dyDescent="0.25"/>
    <row r="359" spans="3:5" x14ac:dyDescent="0.25"/>
    <row r="360" spans="3:5" x14ac:dyDescent="0.25"/>
    <row r="361" spans="3:5" x14ac:dyDescent="0.25"/>
    <row r="362" spans="3:5" x14ac:dyDescent="0.25"/>
    <row r="363" spans="3:5" x14ac:dyDescent="0.25"/>
    <row r="364" spans="3:5" x14ac:dyDescent="0.25"/>
    <row r="365" spans="3:5" x14ac:dyDescent="0.25"/>
    <row r="366" spans="3:5" x14ac:dyDescent="0.25"/>
    <row r="367" spans="3:5" x14ac:dyDescent="0.25"/>
    <row r="368" spans="3:5" x14ac:dyDescent="0.25"/>
    <row r="369" spans="3:5" x14ac:dyDescent="0.25"/>
    <row r="370" spans="3:5" x14ac:dyDescent="0.25"/>
    <row r="371" spans="3:5" x14ac:dyDescent="0.25"/>
    <row r="372" spans="3:5" x14ac:dyDescent="0.25"/>
    <row r="373" spans="3:5" x14ac:dyDescent="0.25"/>
    <row r="374" spans="3:5" x14ac:dyDescent="0.25"/>
    <row r="375" spans="3:5" x14ac:dyDescent="0.25"/>
    <row r="376" spans="3:5" x14ac:dyDescent="0.25"/>
    <row r="377" spans="3:5" x14ac:dyDescent="0.25"/>
    <row r="378" spans="3:5" x14ac:dyDescent="0.25"/>
    <row r="379" spans="3:5" x14ac:dyDescent="0.25"/>
    <row r="380" spans="3:5" x14ac:dyDescent="0.25"/>
    <row r="381" spans="3:5" x14ac:dyDescent="0.25"/>
    <row r="382" spans="3:5" x14ac:dyDescent="0.25"/>
    <row r="383" spans="3:5" x14ac:dyDescent="0.25"/>
    <row r="384" spans="3:5" x14ac:dyDescent="0.25"/>
    <row r="385" spans="3:5" x14ac:dyDescent="0.25"/>
    <row r="386" spans="3:5" x14ac:dyDescent="0.25"/>
    <row r="387" spans="3:5" x14ac:dyDescent="0.25"/>
    <row r="388" spans="3:5" x14ac:dyDescent="0.25"/>
    <row r="389" spans="3:5" x14ac:dyDescent="0.25"/>
    <row r="390" spans="3:5" x14ac:dyDescent="0.25"/>
    <row r="391" spans="3:5" x14ac:dyDescent="0.25"/>
    <row r="392" spans="3:5" x14ac:dyDescent="0.25"/>
    <row r="393" spans="3:5" x14ac:dyDescent="0.25"/>
    <row r="394" spans="3:5" x14ac:dyDescent="0.25"/>
    <row r="395" spans="3:5" x14ac:dyDescent="0.25"/>
    <row r="396" spans="3:5" x14ac:dyDescent="0.25"/>
    <row r="397" spans="3:5" x14ac:dyDescent="0.25"/>
    <row r="398" spans="3:5" x14ac:dyDescent="0.25"/>
    <row r="399" spans="3:5" x14ac:dyDescent="0.25"/>
    <row r="400" spans="3:5" x14ac:dyDescent="0.25"/>
    <row r="401" spans="3:5" x14ac:dyDescent="0.25"/>
    <row r="402" spans="3:5" x14ac:dyDescent="0.25"/>
    <row r="403" spans="3:5" x14ac:dyDescent="0.25"/>
    <row r="404" spans="3:5" x14ac:dyDescent="0.25"/>
    <row r="405" spans="3:5" x14ac:dyDescent="0.25"/>
    <row r="406" spans="3:5" x14ac:dyDescent="0.25"/>
    <row r="407" spans="3:5" x14ac:dyDescent="0.25"/>
    <row r="408" spans="3:5" x14ac:dyDescent="0.25"/>
    <row r="409" spans="3:5" x14ac:dyDescent="0.25"/>
    <row r="410" spans="3:5" x14ac:dyDescent="0.25"/>
    <row r="411" spans="3:5" x14ac:dyDescent="0.25"/>
    <row r="412" spans="3:5" x14ac:dyDescent="0.25"/>
    <row r="413" spans="3:5" x14ac:dyDescent="0.25"/>
    <row r="414" spans="3:5" x14ac:dyDescent="0.25"/>
    <row r="415" spans="3:5" x14ac:dyDescent="0.25"/>
    <row r="416" spans="3:5" x14ac:dyDescent="0.25"/>
    <row r="417" spans="3:5" x14ac:dyDescent="0.25"/>
    <row r="418" spans="3:5" x14ac:dyDescent="0.25"/>
    <row r="419" spans="3:5" x14ac:dyDescent="0.25"/>
    <row r="420" spans="3:5" x14ac:dyDescent="0.25"/>
    <row r="421" spans="3:5" x14ac:dyDescent="0.25"/>
    <row r="422" spans="3:5" x14ac:dyDescent="0.25"/>
    <row r="423" spans="3:5" x14ac:dyDescent="0.25"/>
    <row r="424" spans="3:5" x14ac:dyDescent="0.25"/>
    <row r="425" spans="3:5" x14ac:dyDescent="0.25"/>
    <row r="426" spans="3:5" x14ac:dyDescent="0.25"/>
    <row r="427" spans="3:5" x14ac:dyDescent="0.25"/>
    <row r="428" spans="3:5" x14ac:dyDescent="0.25"/>
    <row r="429" spans="3:5" x14ac:dyDescent="0.25"/>
    <row r="430" spans="3:5" x14ac:dyDescent="0.25"/>
    <row r="431" spans="3:5" x14ac:dyDescent="0.25"/>
    <row r="432" spans="3:5" x14ac:dyDescent="0.25"/>
    <row r="433" spans="3:5" x14ac:dyDescent="0.25"/>
    <row r="434" spans="3:5" x14ac:dyDescent="0.25"/>
    <row r="435" spans="3:5" x14ac:dyDescent="0.25"/>
    <row r="436" spans="3:5" x14ac:dyDescent="0.25"/>
    <row r="437" spans="3:5" x14ac:dyDescent="0.25"/>
    <row r="438" spans="3:5" x14ac:dyDescent="0.25"/>
    <row r="439" spans="3:5" x14ac:dyDescent="0.25"/>
    <row r="440" spans="3:5" x14ac:dyDescent="0.25"/>
    <row r="441" spans="3:5" x14ac:dyDescent="0.25"/>
    <row r="442" spans="3:5" x14ac:dyDescent="0.25"/>
    <row r="443" spans="3:5" x14ac:dyDescent="0.25"/>
    <row r="444" spans="3:5" x14ac:dyDescent="0.25"/>
    <row r="445" spans="3:5" x14ac:dyDescent="0.25"/>
    <row r="446" spans="3:5" x14ac:dyDescent="0.25"/>
    <row r="447" spans="3:5" x14ac:dyDescent="0.25"/>
    <row r="448" spans="3:5" x14ac:dyDescent="0.25"/>
    <row r="449" spans="3:5" x14ac:dyDescent="0.25"/>
    <row r="450" spans="3:5" x14ac:dyDescent="0.25"/>
    <row r="451" spans="3:5" x14ac:dyDescent="0.25"/>
    <row r="452" spans="3:5" x14ac:dyDescent="0.25"/>
    <row r="453" spans="3:5" x14ac:dyDescent="0.25"/>
    <row r="454" spans="3:5" x14ac:dyDescent="0.25"/>
    <row r="455" spans="3:5" x14ac:dyDescent="0.25"/>
    <row r="456" spans="3:5" x14ac:dyDescent="0.25"/>
    <row r="457" spans="3:5" x14ac:dyDescent="0.25"/>
    <row r="458" spans="3:5" x14ac:dyDescent="0.25"/>
    <row r="459" spans="3:5" x14ac:dyDescent="0.25"/>
    <row r="460" spans="3:5" x14ac:dyDescent="0.25"/>
    <row r="461" spans="3:5" x14ac:dyDescent="0.25"/>
    <row r="462" spans="3:5" x14ac:dyDescent="0.25"/>
    <row r="463" spans="3:5" x14ac:dyDescent="0.25"/>
    <row r="464" spans="3:5" x14ac:dyDescent="0.25"/>
    <row r="465" spans="3:5" x14ac:dyDescent="0.25"/>
    <row r="466" spans="3:5" x14ac:dyDescent="0.25"/>
    <row r="467" spans="3:5" x14ac:dyDescent="0.25"/>
    <row r="468" spans="3:5" x14ac:dyDescent="0.25"/>
    <row r="469" spans="3:5" x14ac:dyDescent="0.25"/>
    <row r="470" spans="3:5" x14ac:dyDescent="0.25"/>
    <row r="471" spans="3:5" x14ac:dyDescent="0.25"/>
    <row r="472" spans="3:5" x14ac:dyDescent="0.25"/>
    <row r="473" spans="3:5" x14ac:dyDescent="0.25"/>
    <row r="474" spans="3:5" x14ac:dyDescent="0.25"/>
    <row r="475" spans="3:5" x14ac:dyDescent="0.25"/>
    <row r="476" spans="3:5" x14ac:dyDescent="0.25"/>
    <row r="477" spans="3:5" x14ac:dyDescent="0.25"/>
    <row r="478" spans="3:5" x14ac:dyDescent="0.25"/>
    <row r="479" spans="3:5" x14ac:dyDescent="0.25"/>
    <row r="480" spans="3:5" x14ac:dyDescent="0.25"/>
    <row r="481" spans="3:5" x14ac:dyDescent="0.25"/>
    <row r="482" spans="3:5" x14ac:dyDescent="0.25"/>
    <row r="483" spans="3:5" x14ac:dyDescent="0.25"/>
    <row r="484" spans="3:5" x14ac:dyDescent="0.25"/>
    <row r="485" spans="3:5" x14ac:dyDescent="0.25"/>
    <row r="486" spans="3:5" x14ac:dyDescent="0.25"/>
    <row r="487" spans="3:5" x14ac:dyDescent="0.25"/>
    <row r="488" spans="3:5" x14ac:dyDescent="0.25"/>
    <row r="489" spans="3:5" x14ac:dyDescent="0.25"/>
    <row r="490" spans="3:5" x14ac:dyDescent="0.25"/>
    <row r="491" spans="3:5" x14ac:dyDescent="0.25"/>
    <row r="492" spans="3:5" x14ac:dyDescent="0.25"/>
    <row r="493" spans="3:5" x14ac:dyDescent="0.25"/>
    <row r="494" spans="3:5" x14ac:dyDescent="0.25"/>
    <row r="495" spans="3:5" x14ac:dyDescent="0.25"/>
    <row r="496" spans="3:5" x14ac:dyDescent="0.25"/>
    <row r="497" spans="3:5" x14ac:dyDescent="0.25"/>
    <row r="498" spans="3:5" x14ac:dyDescent="0.25"/>
    <row r="499" spans="3:5" x14ac:dyDescent="0.25"/>
    <row r="500" spans="3:5" x14ac:dyDescent="0.25"/>
    <row r="501" spans="3:5" x14ac:dyDescent="0.25"/>
    <row r="502" spans="3:5" x14ac:dyDescent="0.25"/>
    <row r="503" spans="3:5" x14ac:dyDescent="0.25"/>
    <row r="504" spans="3:5" x14ac:dyDescent="0.25"/>
    <row r="505" spans="3:5" x14ac:dyDescent="0.25"/>
    <row r="506" spans="3:5" x14ac:dyDescent="0.25"/>
    <row r="507" spans="3:5" x14ac:dyDescent="0.25"/>
    <row r="508" spans="3:5" x14ac:dyDescent="0.25"/>
    <row r="509" spans="3:5" x14ac:dyDescent="0.25"/>
    <row r="510" spans="3:5" x14ac:dyDescent="0.25"/>
    <row r="511" spans="3:5" x14ac:dyDescent="0.25"/>
    <row r="512" spans="3:5" x14ac:dyDescent="0.25"/>
    <row r="513" spans="3:5" x14ac:dyDescent="0.25"/>
    <row r="514" spans="3:5" x14ac:dyDescent="0.25"/>
    <row r="515" spans="3:5" x14ac:dyDescent="0.25"/>
    <row r="516" spans="3:5" x14ac:dyDescent="0.25"/>
    <row r="517" spans="3:5" x14ac:dyDescent="0.25"/>
    <row r="518" spans="3:5" x14ac:dyDescent="0.25"/>
    <row r="519" spans="3:5" x14ac:dyDescent="0.25"/>
    <row r="520" spans="3:5" x14ac:dyDescent="0.25"/>
    <row r="521" spans="3:5" x14ac:dyDescent="0.25"/>
    <row r="522" spans="3:5" x14ac:dyDescent="0.25"/>
    <row r="523" spans="3:5" x14ac:dyDescent="0.25"/>
    <row r="524" spans="3:5" x14ac:dyDescent="0.25"/>
    <row r="525" spans="3:5" x14ac:dyDescent="0.25"/>
    <row r="526" spans="3:5" x14ac:dyDescent="0.25"/>
    <row r="527" spans="3:5" x14ac:dyDescent="0.25"/>
    <row r="528" spans="3:5" x14ac:dyDescent="0.25"/>
    <row r="529" spans="3:5" x14ac:dyDescent="0.25"/>
    <row r="530" spans="3:5" x14ac:dyDescent="0.25"/>
    <row r="531" spans="3:5" x14ac:dyDescent="0.25"/>
    <row r="532" spans="3:5" x14ac:dyDescent="0.25"/>
    <row r="533" spans="3:5" x14ac:dyDescent="0.25"/>
    <row r="534" spans="3:5" x14ac:dyDescent="0.25"/>
    <row r="535" spans="3:5" x14ac:dyDescent="0.25"/>
    <row r="536" spans="3:5" x14ac:dyDescent="0.25"/>
    <row r="537" spans="3:5" x14ac:dyDescent="0.25"/>
    <row r="538" spans="3:5" x14ac:dyDescent="0.25"/>
    <row r="539" spans="3:5" x14ac:dyDescent="0.25"/>
    <row r="540" spans="3:5" x14ac:dyDescent="0.25"/>
    <row r="541" spans="3:5" x14ac:dyDescent="0.25"/>
    <row r="542" spans="3:5" x14ac:dyDescent="0.25"/>
    <row r="543" spans="3:5" x14ac:dyDescent="0.25"/>
    <row r="544" spans="3:5" x14ac:dyDescent="0.25"/>
    <row r="545" spans="3:5" x14ac:dyDescent="0.25"/>
    <row r="546" spans="3:5" x14ac:dyDescent="0.25"/>
    <row r="547" spans="3:5" x14ac:dyDescent="0.25"/>
    <row r="548" spans="3:5" x14ac:dyDescent="0.25"/>
    <row r="549" spans="3:5" x14ac:dyDescent="0.25"/>
    <row r="550" spans="3:5" x14ac:dyDescent="0.25"/>
    <row r="551" spans="3:5" x14ac:dyDescent="0.25"/>
    <row r="552" spans="3:5" x14ac:dyDescent="0.25"/>
    <row r="553" spans="3:5" x14ac:dyDescent="0.25"/>
    <row r="554" spans="3:5" x14ac:dyDescent="0.25"/>
    <row r="555" spans="3:5" x14ac:dyDescent="0.25"/>
    <row r="556" spans="3:5" x14ac:dyDescent="0.25"/>
    <row r="557" spans="3:5" x14ac:dyDescent="0.25"/>
    <row r="558" spans="3:5" x14ac:dyDescent="0.25"/>
    <row r="559" spans="3:5" x14ac:dyDescent="0.25"/>
    <row r="560" spans="3:5" x14ac:dyDescent="0.25"/>
    <row r="561" spans="3:5" x14ac:dyDescent="0.25"/>
    <row r="562" spans="3:5" x14ac:dyDescent="0.25"/>
    <row r="563" spans="3:5" x14ac:dyDescent="0.25"/>
    <row r="564" spans="3:5" x14ac:dyDescent="0.25"/>
    <row r="565" spans="3:5" x14ac:dyDescent="0.25"/>
    <row r="566" spans="3:5" x14ac:dyDescent="0.25"/>
    <row r="567" spans="3:5" x14ac:dyDescent="0.25"/>
    <row r="568" spans="3:5" x14ac:dyDescent="0.25"/>
    <row r="569" spans="3:5" x14ac:dyDescent="0.25"/>
    <row r="570" spans="3:5" x14ac:dyDescent="0.25"/>
    <row r="571" spans="3:5" x14ac:dyDescent="0.25"/>
    <row r="572" spans="3:5" x14ac:dyDescent="0.25"/>
    <row r="573" spans="3:5" x14ac:dyDescent="0.25"/>
    <row r="574" spans="3:5" x14ac:dyDescent="0.25"/>
    <row r="575" spans="3:5" x14ac:dyDescent="0.25"/>
    <row r="576" spans="3:5" x14ac:dyDescent="0.25"/>
    <row r="577" spans="3:5" x14ac:dyDescent="0.25"/>
    <row r="578" spans="3:5" x14ac:dyDescent="0.25"/>
    <row r="579" spans="3:5" x14ac:dyDescent="0.25"/>
    <row r="580" spans="3:5" x14ac:dyDescent="0.25"/>
    <row r="581" spans="3:5" x14ac:dyDescent="0.25"/>
    <row r="582" spans="3:5" x14ac:dyDescent="0.25"/>
    <row r="583" spans="3:5" x14ac:dyDescent="0.25"/>
    <row r="584" spans="3:5" x14ac:dyDescent="0.25"/>
    <row r="585" spans="3:5" x14ac:dyDescent="0.25"/>
    <row r="586" spans="3:5" x14ac:dyDescent="0.25"/>
    <row r="587" spans="3:5" x14ac:dyDescent="0.25"/>
    <row r="588" spans="3:5" x14ac:dyDescent="0.25"/>
    <row r="589" spans="3:5" x14ac:dyDescent="0.25"/>
    <row r="590" spans="3:5" x14ac:dyDescent="0.25"/>
    <row r="591" spans="3:5" x14ac:dyDescent="0.25"/>
    <row r="592" spans="3:5" x14ac:dyDescent="0.25"/>
    <row r="593" spans="3:5" x14ac:dyDescent="0.25"/>
    <row r="594" spans="3:5" x14ac:dyDescent="0.25"/>
    <row r="595" spans="3:5" x14ac:dyDescent="0.25"/>
    <row r="596" spans="3:5" x14ac:dyDescent="0.25"/>
    <row r="597" spans="3:5" x14ac:dyDescent="0.25"/>
    <row r="598" spans="3:5" x14ac:dyDescent="0.25"/>
    <row r="599" spans="3:5" x14ac:dyDescent="0.25"/>
    <row r="600" spans="3:5" x14ac:dyDescent="0.25"/>
    <row r="601" spans="3:5" x14ac:dyDescent="0.25"/>
    <row r="602" spans="3:5" x14ac:dyDescent="0.25"/>
    <row r="603" spans="3:5" x14ac:dyDescent="0.25"/>
    <row r="604" spans="3:5" x14ac:dyDescent="0.25"/>
    <row r="605" spans="3:5" x14ac:dyDescent="0.25"/>
    <row r="606" spans="3:5" x14ac:dyDescent="0.25"/>
    <row r="607" spans="3:5" x14ac:dyDescent="0.25"/>
    <row r="608" spans="3:5" x14ac:dyDescent="0.25"/>
    <row r="609" spans="3:5" x14ac:dyDescent="0.25"/>
    <row r="610" spans="3:5" x14ac:dyDescent="0.25"/>
    <row r="611" spans="3:5" x14ac:dyDescent="0.25"/>
    <row r="612" spans="3:5" x14ac:dyDescent="0.25"/>
    <row r="613" spans="3:5" x14ac:dyDescent="0.25"/>
    <row r="614" spans="3:5" x14ac:dyDescent="0.25"/>
    <row r="615" spans="3:5" x14ac:dyDescent="0.25"/>
    <row r="616" spans="3:5" x14ac:dyDescent="0.25"/>
    <row r="617" spans="3:5" x14ac:dyDescent="0.25"/>
    <row r="618" spans="3:5" x14ac:dyDescent="0.25"/>
    <row r="619" spans="3:5" x14ac:dyDescent="0.25"/>
    <row r="620" spans="3:5" x14ac:dyDescent="0.25"/>
    <row r="621" spans="3:5" x14ac:dyDescent="0.25"/>
    <row r="622" spans="3:5" x14ac:dyDescent="0.25"/>
    <row r="623" spans="3:5" x14ac:dyDescent="0.25"/>
    <row r="624" spans="3:5" x14ac:dyDescent="0.25"/>
    <row r="625" spans="3:5" x14ac:dyDescent="0.25"/>
    <row r="626" spans="3:5" x14ac:dyDescent="0.25"/>
    <row r="627" spans="3:5" x14ac:dyDescent="0.25"/>
    <row r="628" spans="3:5" x14ac:dyDescent="0.25"/>
    <row r="629" spans="3:5" x14ac:dyDescent="0.25"/>
    <row r="630" spans="3:5" x14ac:dyDescent="0.25"/>
    <row r="631" spans="3:5" x14ac:dyDescent="0.25"/>
    <row r="632" spans="3:5" x14ac:dyDescent="0.25"/>
    <row r="633" spans="3:5" x14ac:dyDescent="0.25"/>
    <row r="634" spans="3:5" x14ac:dyDescent="0.25"/>
    <row r="635" spans="3:5" x14ac:dyDescent="0.25"/>
    <row r="636" spans="3:5" x14ac:dyDescent="0.25"/>
    <row r="637" spans="3:5" x14ac:dyDescent="0.25"/>
    <row r="638" spans="3:5" x14ac:dyDescent="0.25"/>
    <row r="639" spans="3:5" x14ac:dyDescent="0.25"/>
    <row r="640" spans="3:5" x14ac:dyDescent="0.25"/>
    <row r="641" spans="3:5" x14ac:dyDescent="0.25"/>
    <row r="642" spans="3:5" x14ac:dyDescent="0.25"/>
    <row r="643" spans="3:5" x14ac:dyDescent="0.25"/>
    <row r="644" spans="3:5" x14ac:dyDescent="0.25"/>
    <row r="645" spans="3:5" x14ac:dyDescent="0.25"/>
    <row r="646" spans="3:5" x14ac:dyDescent="0.25"/>
    <row r="647" spans="3:5" x14ac:dyDescent="0.25"/>
    <row r="648" spans="3:5" x14ac:dyDescent="0.25"/>
    <row r="649" spans="3:5" x14ac:dyDescent="0.25"/>
    <row r="650" spans="3:5" x14ac:dyDescent="0.25"/>
    <row r="651" spans="3:5" x14ac:dyDescent="0.25"/>
    <row r="652" spans="3:5" x14ac:dyDescent="0.25"/>
    <row r="653" spans="3:5" x14ac:dyDescent="0.25"/>
    <row r="654" spans="3:5" x14ac:dyDescent="0.25"/>
    <row r="655" spans="3:5" x14ac:dyDescent="0.25"/>
    <row r="656" spans="3:5" x14ac:dyDescent="0.25"/>
    <row r="657" spans="3:5" x14ac:dyDescent="0.25"/>
    <row r="658" spans="3:5" x14ac:dyDescent="0.25"/>
    <row r="659" spans="3:5" x14ac:dyDescent="0.25"/>
    <row r="660" spans="3:5" x14ac:dyDescent="0.25"/>
    <row r="661" spans="3:5" x14ac:dyDescent="0.25"/>
    <row r="662" spans="3:5" x14ac:dyDescent="0.25"/>
    <row r="663" spans="3:5" x14ac:dyDescent="0.25"/>
    <row r="664" spans="3:5" x14ac:dyDescent="0.25"/>
    <row r="665" spans="3:5" x14ac:dyDescent="0.25"/>
    <row r="666" spans="3:5" x14ac:dyDescent="0.25"/>
    <row r="667" spans="3:5" x14ac:dyDescent="0.25"/>
    <row r="668" spans="3:5" x14ac:dyDescent="0.25"/>
    <row r="669" spans="3:5" x14ac:dyDescent="0.25"/>
    <row r="670" spans="3:5" x14ac:dyDescent="0.25"/>
    <row r="671" spans="3:5" x14ac:dyDescent="0.25"/>
    <row r="672" spans="3:5" x14ac:dyDescent="0.25"/>
    <row r="673" spans="3:5" x14ac:dyDescent="0.25"/>
    <row r="674" spans="3:5" x14ac:dyDescent="0.25"/>
    <row r="675" spans="3:5" x14ac:dyDescent="0.25"/>
    <row r="676" spans="3:5" x14ac:dyDescent="0.25"/>
    <row r="677" spans="3:5" x14ac:dyDescent="0.25"/>
    <row r="678" spans="3:5" x14ac:dyDescent="0.25"/>
    <row r="679" spans="3:5" x14ac:dyDescent="0.25"/>
    <row r="680" spans="3:5" x14ac:dyDescent="0.25"/>
    <row r="681" spans="3:5" x14ac:dyDescent="0.25"/>
    <row r="682" spans="3:5" x14ac:dyDescent="0.25"/>
    <row r="683" spans="3:5" x14ac:dyDescent="0.25"/>
    <row r="684" spans="3:5" x14ac:dyDescent="0.25"/>
    <row r="685" spans="3:5" x14ac:dyDescent="0.25"/>
    <row r="686" spans="3:5" x14ac:dyDescent="0.25"/>
    <row r="687" spans="3:5" x14ac:dyDescent="0.25"/>
    <row r="688" spans="3:5" x14ac:dyDescent="0.25"/>
    <row r="689" spans="3:5" x14ac:dyDescent="0.25"/>
    <row r="690" spans="3:5" x14ac:dyDescent="0.25"/>
    <row r="691" spans="3:5" x14ac:dyDescent="0.25"/>
    <row r="692" spans="3:5" x14ac:dyDescent="0.25"/>
    <row r="693" spans="3:5" x14ac:dyDescent="0.25"/>
    <row r="694" spans="3:5" x14ac:dyDescent="0.25"/>
    <row r="695" spans="3:5" x14ac:dyDescent="0.25"/>
    <row r="696" spans="3:5" x14ac:dyDescent="0.25"/>
    <row r="697" spans="3:5" x14ac:dyDescent="0.25"/>
    <row r="698" spans="3:5" x14ac:dyDescent="0.25"/>
    <row r="699" spans="3:5" x14ac:dyDescent="0.25"/>
    <row r="700" spans="3:5" x14ac:dyDescent="0.25"/>
    <row r="701" spans="3:5" x14ac:dyDescent="0.25"/>
    <row r="702" spans="3:5" x14ac:dyDescent="0.25"/>
    <row r="703" spans="3:5" x14ac:dyDescent="0.25"/>
    <row r="704" spans="3:5" x14ac:dyDescent="0.25"/>
    <row r="705" spans="3:5" x14ac:dyDescent="0.25"/>
    <row r="706" spans="3:5" x14ac:dyDescent="0.25"/>
    <row r="707" spans="3:5" x14ac:dyDescent="0.25"/>
    <row r="708" spans="3:5" x14ac:dyDescent="0.25"/>
    <row r="709" spans="3:5" x14ac:dyDescent="0.25"/>
    <row r="710" spans="3:5" x14ac:dyDescent="0.25"/>
    <row r="711" spans="3:5" x14ac:dyDescent="0.25"/>
    <row r="712" spans="3:5" x14ac:dyDescent="0.25"/>
    <row r="713" spans="3:5" x14ac:dyDescent="0.25"/>
    <row r="714" spans="3:5" x14ac:dyDescent="0.25"/>
    <row r="715" spans="3:5" x14ac:dyDescent="0.25"/>
    <row r="716" spans="3:5" x14ac:dyDescent="0.25"/>
    <row r="717" spans="3:5" x14ac:dyDescent="0.25"/>
    <row r="718" spans="3:5" x14ac:dyDescent="0.25"/>
    <row r="719" spans="3:5" x14ac:dyDescent="0.25"/>
    <row r="720" spans="3:5" x14ac:dyDescent="0.25"/>
    <row r="721" spans="3:5" x14ac:dyDescent="0.25"/>
    <row r="722" spans="3:5" x14ac:dyDescent="0.25"/>
    <row r="723" spans="3:5" x14ac:dyDescent="0.25"/>
    <row r="724" spans="3:5" x14ac:dyDescent="0.25"/>
    <row r="725" spans="3:5" x14ac:dyDescent="0.25"/>
    <row r="726" spans="3:5" x14ac:dyDescent="0.25"/>
    <row r="727" spans="3:5" x14ac:dyDescent="0.25"/>
    <row r="728" spans="3:5" x14ac:dyDescent="0.25"/>
    <row r="729" spans="3:5" x14ac:dyDescent="0.25"/>
    <row r="730" spans="3:5" x14ac:dyDescent="0.25"/>
    <row r="731" spans="3:5" x14ac:dyDescent="0.25"/>
    <row r="732" spans="3:5" x14ac:dyDescent="0.25"/>
    <row r="733" spans="3:5" x14ac:dyDescent="0.25"/>
    <row r="734" spans="3:5" x14ac:dyDescent="0.25"/>
    <row r="735" spans="3:5" x14ac:dyDescent="0.25"/>
    <row r="736" spans="3:5" x14ac:dyDescent="0.25"/>
    <row r="737" spans="3:5" x14ac:dyDescent="0.25"/>
    <row r="738" spans="3:5" x14ac:dyDescent="0.25"/>
    <row r="739" spans="3:5" x14ac:dyDescent="0.25"/>
    <row r="740" spans="3:5" x14ac:dyDescent="0.25"/>
    <row r="741" spans="3:5" x14ac:dyDescent="0.25"/>
    <row r="742" spans="3:5" x14ac:dyDescent="0.25"/>
    <row r="743" spans="3:5" x14ac:dyDescent="0.25"/>
    <row r="744" spans="3:5" x14ac:dyDescent="0.25"/>
    <row r="745" spans="3:5" x14ac:dyDescent="0.25"/>
    <row r="746" spans="3:5" x14ac:dyDescent="0.25"/>
    <row r="747" spans="3:5" x14ac:dyDescent="0.25"/>
    <row r="748" spans="3:5" x14ac:dyDescent="0.25"/>
    <row r="749" spans="3:5" x14ac:dyDescent="0.25"/>
    <row r="750" spans="3:5" x14ac:dyDescent="0.25"/>
    <row r="751" spans="3:5" x14ac:dyDescent="0.25"/>
    <row r="752" spans="3:5" x14ac:dyDescent="0.25"/>
    <row r="753" spans="3:5" x14ac:dyDescent="0.25"/>
    <row r="754" spans="3:5" x14ac:dyDescent="0.25"/>
    <row r="755" spans="3:5" x14ac:dyDescent="0.25"/>
    <row r="756" spans="3:5" x14ac:dyDescent="0.25"/>
    <row r="757" spans="3:5" x14ac:dyDescent="0.25"/>
    <row r="758" spans="3:5" x14ac:dyDescent="0.25"/>
    <row r="759" spans="3:5" x14ac:dyDescent="0.25"/>
    <row r="760" spans="3:5" x14ac:dyDescent="0.25"/>
    <row r="761" spans="3:5" x14ac:dyDescent="0.25"/>
    <row r="762" spans="3:5" x14ac:dyDescent="0.25"/>
    <row r="763" spans="3:5" x14ac:dyDescent="0.25"/>
    <row r="764" spans="3:5" x14ac:dyDescent="0.25"/>
    <row r="765" spans="3:5" x14ac:dyDescent="0.25"/>
    <row r="766" spans="3:5" x14ac:dyDescent="0.25"/>
    <row r="767" spans="3:5" x14ac:dyDescent="0.25"/>
    <row r="768" spans="3:5" x14ac:dyDescent="0.25"/>
    <row r="769" spans="3:5" x14ac:dyDescent="0.25"/>
    <row r="770" spans="3:5" x14ac:dyDescent="0.25"/>
    <row r="771" spans="3:5" x14ac:dyDescent="0.25"/>
    <row r="772" spans="3:5" x14ac:dyDescent="0.25"/>
    <row r="773" spans="3:5" x14ac:dyDescent="0.25"/>
    <row r="774" spans="3:5" x14ac:dyDescent="0.25"/>
    <row r="775" spans="3:5" x14ac:dyDescent="0.25"/>
    <row r="776" spans="3:5" x14ac:dyDescent="0.25"/>
    <row r="777" spans="3:5" x14ac:dyDescent="0.25"/>
    <row r="778" spans="3:5" x14ac:dyDescent="0.25"/>
    <row r="779" spans="3:5" x14ac:dyDescent="0.25"/>
    <row r="780" spans="3:5" x14ac:dyDescent="0.25"/>
    <row r="781" spans="3:5" x14ac:dyDescent="0.25"/>
    <row r="782" spans="3:5" x14ac:dyDescent="0.25"/>
    <row r="783" spans="3:5" x14ac:dyDescent="0.25"/>
    <row r="784" spans="3:5" x14ac:dyDescent="0.25"/>
    <row r="785" spans="3:5" x14ac:dyDescent="0.25"/>
    <row r="786" spans="3:5" x14ac:dyDescent="0.25"/>
    <row r="787" spans="3:5" x14ac:dyDescent="0.25"/>
    <row r="788" spans="3:5" x14ac:dyDescent="0.25"/>
    <row r="789" spans="3:5" x14ac:dyDescent="0.25"/>
    <row r="790" spans="3:5" x14ac:dyDescent="0.25"/>
    <row r="791" spans="3:5" x14ac:dyDescent="0.25"/>
    <row r="792" spans="3:5" x14ac:dyDescent="0.25"/>
    <row r="793" spans="3:5" x14ac:dyDescent="0.25"/>
    <row r="794" spans="3:5" x14ac:dyDescent="0.25"/>
    <row r="795" spans="3:5" x14ac:dyDescent="0.25"/>
    <row r="796" spans="3:5" x14ac:dyDescent="0.25"/>
    <row r="797" spans="3:5" x14ac:dyDescent="0.25"/>
    <row r="798" spans="3:5" x14ac:dyDescent="0.25"/>
    <row r="799" spans="3:5" x14ac:dyDescent="0.25"/>
    <row r="800" spans="3:5" x14ac:dyDescent="0.25"/>
    <row r="801" spans="3:5" x14ac:dyDescent="0.25"/>
    <row r="802" spans="3:5" x14ac:dyDescent="0.25"/>
    <row r="803" spans="3:5" x14ac:dyDescent="0.25"/>
    <row r="804" spans="3:5" x14ac:dyDescent="0.25"/>
    <row r="805" spans="3:5" x14ac:dyDescent="0.25"/>
    <row r="806" spans="3:5" x14ac:dyDescent="0.25"/>
    <row r="807" spans="3:5" x14ac:dyDescent="0.25"/>
    <row r="808" spans="3:5" x14ac:dyDescent="0.25"/>
    <row r="809" spans="3:5" x14ac:dyDescent="0.25"/>
    <row r="810" spans="3:5" x14ac:dyDescent="0.25"/>
    <row r="811" spans="3:5" x14ac:dyDescent="0.25"/>
    <row r="812" spans="3:5" x14ac:dyDescent="0.25"/>
    <row r="813" spans="3:5" x14ac:dyDescent="0.25"/>
    <row r="814" spans="3:5" x14ac:dyDescent="0.25"/>
    <row r="815" spans="3:5" x14ac:dyDescent="0.25"/>
    <row r="816" spans="3:5" x14ac:dyDescent="0.25"/>
    <row r="817" spans="3:5" x14ac:dyDescent="0.25"/>
    <row r="818" spans="3:5" x14ac:dyDescent="0.25"/>
    <row r="819" spans="3:5" x14ac:dyDescent="0.25"/>
    <row r="820" spans="3:5" x14ac:dyDescent="0.25"/>
    <row r="821" spans="3:5" x14ac:dyDescent="0.25"/>
    <row r="822" spans="3:5" x14ac:dyDescent="0.25"/>
    <row r="823" spans="3:5" x14ac:dyDescent="0.25"/>
    <row r="824" spans="3:5" x14ac:dyDescent="0.25"/>
    <row r="825" spans="3:5" x14ac:dyDescent="0.25"/>
    <row r="826" spans="3:5" x14ac:dyDescent="0.25"/>
    <row r="827" spans="3:5" x14ac:dyDescent="0.25"/>
    <row r="828" spans="3:5" x14ac:dyDescent="0.25"/>
    <row r="829" spans="3:5" x14ac:dyDescent="0.25"/>
    <row r="830" spans="3:5" x14ac:dyDescent="0.25"/>
    <row r="831" spans="3:5" x14ac:dyDescent="0.25"/>
    <row r="832" spans="3:5" x14ac:dyDescent="0.25"/>
    <row r="833" spans="3:5" x14ac:dyDescent="0.25"/>
    <row r="834" spans="3:5" x14ac:dyDescent="0.25"/>
    <row r="835" spans="3:5" x14ac:dyDescent="0.25"/>
    <row r="836" spans="3:5" x14ac:dyDescent="0.25"/>
    <row r="837" spans="3:5" x14ac:dyDescent="0.25"/>
    <row r="838" spans="3:5" x14ac:dyDescent="0.25"/>
    <row r="839" spans="3:5" x14ac:dyDescent="0.25"/>
    <row r="840" spans="3:5" x14ac:dyDescent="0.25"/>
    <row r="841" spans="3:5" x14ac:dyDescent="0.25"/>
    <row r="842" spans="3:5" x14ac:dyDescent="0.25"/>
    <row r="843" spans="3:5" x14ac:dyDescent="0.25"/>
    <row r="844" spans="3:5" x14ac:dyDescent="0.25"/>
    <row r="845" spans="3:5" x14ac:dyDescent="0.25"/>
    <row r="846" spans="3:5" x14ac:dyDescent="0.25"/>
    <row r="847" spans="3:5" x14ac:dyDescent="0.25"/>
    <row r="848" spans="3:5" x14ac:dyDescent="0.25"/>
    <row r="849" spans="3:5" x14ac:dyDescent="0.25"/>
    <row r="850" spans="3:5" x14ac:dyDescent="0.25"/>
    <row r="851" spans="3:5" x14ac:dyDescent="0.25"/>
    <row r="852" spans="3:5" x14ac:dyDescent="0.25"/>
    <row r="853" spans="3:5" x14ac:dyDescent="0.25"/>
    <row r="854" spans="3:5" x14ac:dyDescent="0.25"/>
    <row r="855" spans="3:5" x14ac:dyDescent="0.25"/>
    <row r="856" spans="3:5" x14ac:dyDescent="0.25"/>
    <row r="857" spans="3:5" x14ac:dyDescent="0.25"/>
    <row r="858" spans="3:5" x14ac:dyDescent="0.25"/>
    <row r="859" spans="3:5" x14ac:dyDescent="0.25"/>
    <row r="860" spans="3:5" x14ac:dyDescent="0.25"/>
    <row r="861" spans="3:5" x14ac:dyDescent="0.25"/>
    <row r="862" spans="3:5" x14ac:dyDescent="0.25"/>
    <row r="863" spans="3:5" x14ac:dyDescent="0.25"/>
    <row r="864" spans="3:5" x14ac:dyDescent="0.25"/>
    <row r="865" spans="3:5" x14ac:dyDescent="0.25"/>
    <row r="866" spans="3:5" x14ac:dyDescent="0.25"/>
    <row r="867" spans="3:5" x14ac:dyDescent="0.25"/>
    <row r="868" spans="3:5" x14ac:dyDescent="0.25"/>
    <row r="869" spans="3:5" x14ac:dyDescent="0.25"/>
    <row r="870" spans="3:5" x14ac:dyDescent="0.25"/>
    <row r="871" spans="3:5" x14ac:dyDescent="0.25"/>
    <row r="872" spans="3:5" x14ac:dyDescent="0.25"/>
    <row r="873" spans="3:5" x14ac:dyDescent="0.25"/>
    <row r="874" spans="3:5" x14ac:dyDescent="0.25"/>
    <row r="875" spans="3:5" x14ac:dyDescent="0.25"/>
    <row r="876" spans="3:5" x14ac:dyDescent="0.25"/>
    <row r="877" spans="3:5" x14ac:dyDescent="0.25"/>
    <row r="878" spans="3:5" x14ac:dyDescent="0.25"/>
    <row r="879" spans="3:5" x14ac:dyDescent="0.25"/>
    <row r="880" spans="3:5" x14ac:dyDescent="0.25"/>
    <row r="881" spans="3:5" x14ac:dyDescent="0.25"/>
    <row r="882" spans="3:5" x14ac:dyDescent="0.25"/>
    <row r="883" spans="3:5" x14ac:dyDescent="0.25"/>
    <row r="884" spans="3:5" x14ac:dyDescent="0.25"/>
    <row r="885" spans="3:5" x14ac:dyDescent="0.25"/>
    <row r="886" spans="3:5" x14ac:dyDescent="0.25"/>
    <row r="887" spans="3:5" x14ac:dyDescent="0.25"/>
    <row r="888" spans="3:5" x14ac:dyDescent="0.25"/>
    <row r="889" spans="3:5" x14ac:dyDescent="0.25"/>
    <row r="890" spans="3:5" x14ac:dyDescent="0.25"/>
    <row r="891" spans="3:5" x14ac:dyDescent="0.25"/>
    <row r="892" spans="3:5" x14ac:dyDescent="0.25"/>
    <row r="893" spans="3:5" x14ac:dyDescent="0.25"/>
    <row r="894" spans="3:5" x14ac:dyDescent="0.25"/>
    <row r="895" spans="3:5" x14ac:dyDescent="0.25"/>
    <row r="896" spans="3:5" x14ac:dyDescent="0.25"/>
    <row r="897" spans="3:5" x14ac:dyDescent="0.25"/>
    <row r="898" spans="3:5" x14ac:dyDescent="0.25"/>
    <row r="899" spans="3:5" x14ac:dyDescent="0.25"/>
    <row r="900" spans="3:5" x14ac:dyDescent="0.25"/>
    <row r="901" spans="3:5" x14ac:dyDescent="0.25"/>
    <row r="902" spans="3:5" x14ac:dyDescent="0.25"/>
    <row r="903" spans="3:5" x14ac:dyDescent="0.25"/>
    <row r="904" spans="3:5" x14ac:dyDescent="0.25"/>
    <row r="905" spans="3:5" x14ac:dyDescent="0.25"/>
    <row r="906" spans="3:5" x14ac:dyDescent="0.25"/>
    <row r="907" spans="3:5" x14ac:dyDescent="0.25"/>
    <row r="908" spans="3:5" x14ac:dyDescent="0.25"/>
    <row r="909" spans="3:5" x14ac:dyDescent="0.25"/>
    <row r="910" spans="3:5" x14ac:dyDescent="0.25"/>
    <row r="911" spans="3:5" x14ac:dyDescent="0.25"/>
    <row r="912" spans="3:5" x14ac:dyDescent="0.25"/>
    <row r="913" spans="3:5" x14ac:dyDescent="0.25"/>
    <row r="914" spans="3:5" x14ac:dyDescent="0.25"/>
    <row r="915" spans="3:5" x14ac:dyDescent="0.25"/>
    <row r="916" spans="3:5" x14ac:dyDescent="0.25"/>
    <row r="917" spans="3:5" x14ac:dyDescent="0.25"/>
    <row r="918" spans="3:5" x14ac:dyDescent="0.25"/>
    <row r="919" spans="3:5" x14ac:dyDescent="0.25"/>
    <row r="920" spans="3:5" x14ac:dyDescent="0.25"/>
    <row r="921" spans="3:5" x14ac:dyDescent="0.25"/>
    <row r="922" spans="3:5" x14ac:dyDescent="0.25"/>
    <row r="923" spans="3:5" x14ac:dyDescent="0.25"/>
    <row r="924" spans="3:5" x14ac:dyDescent="0.25"/>
    <row r="925" spans="3:5" x14ac:dyDescent="0.25"/>
    <row r="926" spans="3:5" x14ac:dyDescent="0.25"/>
    <row r="927" spans="3:5" x14ac:dyDescent="0.25"/>
    <row r="928" spans="3:5" x14ac:dyDescent="0.25"/>
    <row r="929" spans="3:5" x14ac:dyDescent="0.25"/>
    <row r="930" spans="3:5" x14ac:dyDescent="0.25"/>
    <row r="931" spans="3:5" x14ac:dyDescent="0.25"/>
    <row r="932" spans="3:5" x14ac:dyDescent="0.25"/>
    <row r="933" spans="3:5" x14ac:dyDescent="0.25"/>
    <row r="934" spans="3:5" x14ac:dyDescent="0.25"/>
    <row r="935" spans="3:5" x14ac:dyDescent="0.25"/>
    <row r="936" spans="3:5" x14ac:dyDescent="0.25"/>
    <row r="937" spans="3:5" x14ac:dyDescent="0.25"/>
    <row r="938" spans="3:5" x14ac:dyDescent="0.25"/>
    <row r="939" spans="3:5" x14ac:dyDescent="0.25"/>
    <row r="940" spans="3:5" x14ac:dyDescent="0.25"/>
    <row r="941" spans="3:5" x14ac:dyDescent="0.25"/>
    <row r="942" spans="3:5" x14ac:dyDescent="0.25"/>
    <row r="943" spans="3:5" x14ac:dyDescent="0.25"/>
    <row r="944" spans="3:5" x14ac:dyDescent="0.25"/>
    <row r="945" spans="3:5" x14ac:dyDescent="0.25"/>
    <row r="946" spans="3:5" x14ac:dyDescent="0.25"/>
    <row r="947" spans="3:5" x14ac:dyDescent="0.25"/>
    <row r="948" spans="3:5" x14ac:dyDescent="0.25"/>
    <row r="949" spans="3:5" x14ac:dyDescent="0.25"/>
    <row r="950" spans="3:5" x14ac:dyDescent="0.25"/>
    <row r="951" spans="3:5" x14ac:dyDescent="0.25"/>
    <row r="952" spans="3:5" x14ac:dyDescent="0.25"/>
    <row r="953" spans="3:5" x14ac:dyDescent="0.25"/>
    <row r="954" spans="3:5" x14ac:dyDescent="0.25"/>
    <row r="955" spans="3:5" x14ac:dyDescent="0.25"/>
    <row r="956" spans="3:5" x14ac:dyDescent="0.25"/>
    <row r="957" spans="3:5" x14ac:dyDescent="0.25"/>
    <row r="958" spans="3:5" x14ac:dyDescent="0.25"/>
    <row r="959" spans="3:5" x14ac:dyDescent="0.25"/>
    <row r="960" spans="3:5" x14ac:dyDescent="0.25"/>
    <row r="961" spans="3:5" x14ac:dyDescent="0.25"/>
    <row r="962" spans="3:5" x14ac:dyDescent="0.25"/>
    <row r="963" spans="3:5" x14ac:dyDescent="0.25"/>
    <row r="964" spans="3:5" x14ac:dyDescent="0.25"/>
    <row r="965" spans="3:5" x14ac:dyDescent="0.25"/>
    <row r="966" spans="3:5" x14ac:dyDescent="0.25"/>
    <row r="967" spans="3:5" x14ac:dyDescent="0.25"/>
    <row r="968" spans="3:5" x14ac:dyDescent="0.25"/>
    <row r="969" spans="3:5" x14ac:dyDescent="0.25"/>
    <row r="970" spans="3:5" x14ac:dyDescent="0.25"/>
    <row r="971" spans="3:5" x14ac:dyDescent="0.25"/>
    <row r="972" spans="3:5" x14ac:dyDescent="0.25"/>
    <row r="973" spans="3:5" x14ac:dyDescent="0.25"/>
    <row r="974" spans="3:5" x14ac:dyDescent="0.25"/>
    <row r="975" spans="3:5" x14ac:dyDescent="0.25"/>
    <row r="976" spans="3:5" x14ac:dyDescent="0.25"/>
    <row r="977" spans="3:5" x14ac:dyDescent="0.25"/>
    <row r="978" spans="3:5" x14ac:dyDescent="0.25"/>
    <row r="979" spans="3:5" x14ac:dyDescent="0.25"/>
    <row r="980" spans="3:5" x14ac:dyDescent="0.25"/>
    <row r="981" spans="3:5" x14ac:dyDescent="0.25"/>
    <row r="982" spans="3:5" x14ac:dyDescent="0.25"/>
    <row r="983" spans="3:5" x14ac:dyDescent="0.25"/>
    <row r="984" spans="3:5" x14ac:dyDescent="0.25"/>
    <row r="985" spans="3:5" x14ac:dyDescent="0.25"/>
    <row r="986" spans="3:5" x14ac:dyDescent="0.25"/>
    <row r="987" spans="3:5" x14ac:dyDescent="0.25"/>
    <row r="988" spans="3:5" x14ac:dyDescent="0.25"/>
    <row r="989" spans="3:5" x14ac:dyDescent="0.25"/>
    <row r="990" spans="3:5" x14ac:dyDescent="0.25"/>
    <row r="991" spans="3:5" x14ac:dyDescent="0.25"/>
    <row r="992" spans="3:5" x14ac:dyDescent="0.25"/>
    <row r="993" spans="3:5" x14ac:dyDescent="0.25"/>
    <row r="994" spans="3:5" x14ac:dyDescent="0.25"/>
    <row r="995" spans="3:5" x14ac:dyDescent="0.25"/>
    <row r="996" spans="3:5" x14ac:dyDescent="0.25"/>
    <row r="997" spans="3:5" x14ac:dyDescent="0.25"/>
    <row r="998" spans="3:5" x14ac:dyDescent="0.25"/>
    <row r="999" spans="3:5" x14ac:dyDescent="0.25"/>
    <row r="1000" spans="3:5" x14ac:dyDescent="0.25"/>
  </sheetData>
  <dataValidations count="6">
    <dataValidation type="list" allowBlank="1" sqref="C10:C1000">
      <formula1>Listas!$B$2:$B$3</formula1>
    </dataValidation>
    <dataValidation type="list" allowBlank="1" sqref="C2:C1000">
      <formula1>Listas!$B$2:$B$3</formula1>
    </dataValidation>
    <dataValidation type="list" allowBlank="1" sqref="D10:D1000">
      <formula1>"gasto,ingreso"</formula1>
    </dataValidation>
    <dataValidation type="list" allowBlank="1" sqref="D2:D1000">
      <formula1>"gasto,ingreso"</formula1>
    </dataValidation>
    <dataValidation type="list" allowBlank="1" sqref="E10:E1000">
      <formula1>Listas!$A$2:$A$15</formula1>
    </dataValidation>
    <dataValidation type="list" allowBlank="1" sqref="E2:E1000">
      <formula1>Listas!$A$2:$A$15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4" customWidth="1"/>
    <col min="5" max="5" width="19" customWidth="1"/>
    <col min="6" max="6" width="16" customWidth="1"/>
    <col min="7" max="7" width="14" customWidth="1"/>
    <col min="8" max="8" width="23" customWidth="1"/>
  </cols>
  <sheetData>
    <row r="1" spans="1:8" x14ac:dyDescent="0.25">
      <c r="A1" s="1" t="s">
        <v>18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s="3" t="s">
        <v>29</v>
      </c>
      <c r="B2" s="3" t="s">
        <v>41</v>
      </c>
      <c r="C2" s="3">
        <v>5000</v>
      </c>
      <c r="D2" s="3" t="s">
        <v>42</v>
      </c>
      <c r="E2" s="3">
        <v>3500</v>
      </c>
      <c r="F2" s="3" t="s">
        <v>43</v>
      </c>
      <c r="G2" s="3" t="s">
        <v>44</v>
      </c>
      <c r="H2" s="3" t="s">
        <v>3</v>
      </c>
    </row>
    <row r="3" spans="4:8" x14ac:dyDescent="0.25"/>
    <row r="4" spans="4:8" x14ac:dyDescent="0.25"/>
    <row r="5" spans="4:8" x14ac:dyDescent="0.25"/>
    <row r="6" spans="4:8" x14ac:dyDescent="0.25"/>
    <row r="7" spans="4:8" x14ac:dyDescent="0.25"/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  <row r="301" spans="4:8" x14ac:dyDescent="0.25"/>
    <row r="302" spans="4:8" x14ac:dyDescent="0.25"/>
    <row r="303" spans="4:8" x14ac:dyDescent="0.25"/>
    <row r="304" spans="4:8" x14ac:dyDescent="0.25"/>
    <row r="305" spans="4:8" x14ac:dyDescent="0.25"/>
    <row r="306" spans="4:8" x14ac:dyDescent="0.25"/>
    <row r="307" spans="4:8" x14ac:dyDescent="0.25"/>
    <row r="308" spans="4:8" x14ac:dyDescent="0.25"/>
    <row r="309" spans="4:8" x14ac:dyDescent="0.25"/>
    <row r="310" spans="4:8" x14ac:dyDescent="0.25"/>
    <row r="311" spans="4:8" x14ac:dyDescent="0.25"/>
    <row r="312" spans="4:8" x14ac:dyDescent="0.25"/>
    <row r="313" spans="4:8" x14ac:dyDescent="0.25"/>
    <row r="314" spans="4:8" x14ac:dyDescent="0.25"/>
    <row r="315" spans="4:8" x14ac:dyDescent="0.25"/>
    <row r="316" spans="4:8" x14ac:dyDescent="0.25"/>
    <row r="317" spans="4:8" x14ac:dyDescent="0.25"/>
    <row r="318" spans="4:8" x14ac:dyDescent="0.25"/>
    <row r="319" spans="4:8" x14ac:dyDescent="0.25"/>
    <row r="320" spans="4:8" x14ac:dyDescent="0.25"/>
    <row r="321" spans="4:8" x14ac:dyDescent="0.25"/>
    <row r="322" spans="4:8" x14ac:dyDescent="0.25"/>
    <row r="323" spans="4:8" x14ac:dyDescent="0.25"/>
    <row r="324" spans="4:8" x14ac:dyDescent="0.25"/>
    <row r="325" spans="4:8" x14ac:dyDescent="0.25"/>
    <row r="326" spans="4:8" x14ac:dyDescent="0.25"/>
    <row r="327" spans="4:8" x14ac:dyDescent="0.25"/>
    <row r="328" spans="4:8" x14ac:dyDescent="0.25"/>
    <row r="329" spans="4:8" x14ac:dyDescent="0.25"/>
    <row r="330" spans="4:8" x14ac:dyDescent="0.25"/>
    <row r="331" spans="4:8" x14ac:dyDescent="0.25"/>
    <row r="332" spans="4:8" x14ac:dyDescent="0.25"/>
    <row r="333" spans="4:8" x14ac:dyDescent="0.25"/>
    <row r="334" spans="4:8" x14ac:dyDescent="0.25"/>
    <row r="335" spans="4:8" x14ac:dyDescent="0.25"/>
    <row r="336" spans="4:8" x14ac:dyDescent="0.25"/>
    <row r="337" spans="4:8" x14ac:dyDescent="0.25"/>
    <row r="338" spans="4:8" x14ac:dyDescent="0.25"/>
    <row r="339" spans="4:8" x14ac:dyDescent="0.25"/>
    <row r="340" spans="4:8" x14ac:dyDescent="0.25"/>
    <row r="341" spans="4:8" x14ac:dyDescent="0.25"/>
    <row r="342" spans="4:8" x14ac:dyDescent="0.25"/>
    <row r="343" spans="4:8" x14ac:dyDescent="0.25"/>
    <row r="344" spans="4:8" x14ac:dyDescent="0.25"/>
    <row r="345" spans="4:8" x14ac:dyDescent="0.25"/>
    <row r="346" spans="4:8" x14ac:dyDescent="0.25"/>
    <row r="347" spans="4:8" x14ac:dyDescent="0.25"/>
    <row r="348" spans="4:8" x14ac:dyDescent="0.25"/>
    <row r="349" spans="4:8" x14ac:dyDescent="0.25"/>
    <row r="350" spans="4:8" x14ac:dyDescent="0.25"/>
    <row r="351" spans="4:8" x14ac:dyDescent="0.25"/>
    <row r="352" spans="4:8" x14ac:dyDescent="0.25"/>
    <row r="353" spans="4:8" x14ac:dyDescent="0.25"/>
    <row r="354" spans="4:8" x14ac:dyDescent="0.25"/>
    <row r="355" spans="4:8" x14ac:dyDescent="0.25"/>
    <row r="356" spans="4:8" x14ac:dyDescent="0.25"/>
    <row r="357" spans="4:8" x14ac:dyDescent="0.25"/>
    <row r="358" spans="4:8" x14ac:dyDescent="0.25"/>
    <row r="359" spans="4:8" x14ac:dyDescent="0.25"/>
    <row r="360" spans="4:8" x14ac:dyDescent="0.25"/>
    <row r="361" spans="4:8" x14ac:dyDescent="0.25"/>
    <row r="362" spans="4:8" x14ac:dyDescent="0.25"/>
    <row r="363" spans="4:8" x14ac:dyDescent="0.25"/>
    <row r="364" spans="4:8" x14ac:dyDescent="0.25"/>
    <row r="365" spans="4:8" x14ac:dyDescent="0.25"/>
    <row r="366" spans="4:8" x14ac:dyDescent="0.25"/>
    <row r="367" spans="4:8" x14ac:dyDescent="0.25"/>
    <row r="368" spans="4:8" x14ac:dyDescent="0.25"/>
    <row r="369" spans="4:8" x14ac:dyDescent="0.25"/>
    <row r="370" spans="4:8" x14ac:dyDescent="0.25"/>
    <row r="371" spans="4:8" x14ac:dyDescent="0.25"/>
    <row r="372" spans="4:8" x14ac:dyDescent="0.25"/>
    <row r="373" spans="4:8" x14ac:dyDescent="0.25"/>
    <row r="374" spans="4:8" x14ac:dyDescent="0.25"/>
    <row r="375" spans="4:8" x14ac:dyDescent="0.25"/>
    <row r="376" spans="4:8" x14ac:dyDescent="0.25"/>
    <row r="377" spans="4:8" x14ac:dyDescent="0.25"/>
    <row r="378" spans="4:8" x14ac:dyDescent="0.25"/>
    <row r="379" spans="4:8" x14ac:dyDescent="0.25"/>
    <row r="380" spans="4:8" x14ac:dyDescent="0.25"/>
    <row r="381" spans="4:8" x14ac:dyDescent="0.25"/>
    <row r="382" spans="4:8" x14ac:dyDescent="0.25"/>
    <row r="383" spans="4:8" x14ac:dyDescent="0.25"/>
    <row r="384" spans="4:8" x14ac:dyDescent="0.25"/>
    <row r="385" spans="4:8" x14ac:dyDescent="0.25"/>
    <row r="386" spans="4:8" x14ac:dyDescent="0.25"/>
    <row r="387" spans="4:8" x14ac:dyDescent="0.25"/>
    <row r="388" spans="4:8" x14ac:dyDescent="0.25"/>
    <row r="389" spans="4:8" x14ac:dyDescent="0.25"/>
    <row r="390" spans="4:8" x14ac:dyDescent="0.25"/>
    <row r="391" spans="4:8" x14ac:dyDescent="0.25"/>
    <row r="392" spans="4:8" x14ac:dyDescent="0.25"/>
    <row r="393" spans="4:8" x14ac:dyDescent="0.25"/>
    <row r="394" spans="4:8" x14ac:dyDescent="0.25"/>
    <row r="395" spans="4:8" x14ac:dyDescent="0.25"/>
    <row r="396" spans="4:8" x14ac:dyDescent="0.25"/>
    <row r="397" spans="4:8" x14ac:dyDescent="0.25"/>
    <row r="398" spans="4:8" x14ac:dyDescent="0.25"/>
    <row r="399" spans="4:8" x14ac:dyDescent="0.25"/>
    <row r="400" spans="4:8" x14ac:dyDescent="0.25"/>
    <row r="401" spans="4:8" x14ac:dyDescent="0.25"/>
    <row r="402" spans="4:8" x14ac:dyDescent="0.25"/>
    <row r="403" spans="4:8" x14ac:dyDescent="0.25"/>
    <row r="404" spans="4:8" x14ac:dyDescent="0.25"/>
    <row r="405" spans="4:8" x14ac:dyDescent="0.25"/>
    <row r="406" spans="4:8" x14ac:dyDescent="0.25"/>
    <row r="407" spans="4:8" x14ac:dyDescent="0.25"/>
    <row r="408" spans="4:8" x14ac:dyDescent="0.25"/>
    <row r="409" spans="4:8" x14ac:dyDescent="0.25"/>
    <row r="410" spans="4:8" x14ac:dyDescent="0.25"/>
    <row r="411" spans="4:8" x14ac:dyDescent="0.25"/>
    <row r="412" spans="4:8" x14ac:dyDescent="0.25"/>
    <row r="413" spans="4:8" x14ac:dyDescent="0.25"/>
    <row r="414" spans="4:8" x14ac:dyDescent="0.25"/>
    <row r="415" spans="4:8" x14ac:dyDescent="0.25"/>
    <row r="416" spans="4:8" x14ac:dyDescent="0.25"/>
    <row r="417" spans="4:8" x14ac:dyDescent="0.25"/>
    <row r="418" spans="4:8" x14ac:dyDescent="0.25"/>
    <row r="419" spans="4:8" x14ac:dyDescent="0.25"/>
    <row r="420" spans="4:8" x14ac:dyDescent="0.25"/>
    <row r="421" spans="4:8" x14ac:dyDescent="0.25"/>
    <row r="422" spans="4:8" x14ac:dyDescent="0.25"/>
    <row r="423" spans="4:8" x14ac:dyDescent="0.25"/>
    <row r="424" spans="4:8" x14ac:dyDescent="0.25"/>
    <row r="425" spans="4:8" x14ac:dyDescent="0.25"/>
    <row r="426" spans="4:8" x14ac:dyDescent="0.25"/>
    <row r="427" spans="4:8" x14ac:dyDescent="0.25"/>
    <row r="428" spans="4:8" x14ac:dyDescent="0.25"/>
    <row r="429" spans="4:8" x14ac:dyDescent="0.25"/>
    <row r="430" spans="4:8" x14ac:dyDescent="0.25"/>
    <row r="431" spans="4:8" x14ac:dyDescent="0.25"/>
    <row r="432" spans="4:8" x14ac:dyDescent="0.25"/>
    <row r="433" spans="4:8" x14ac:dyDescent="0.25"/>
    <row r="434" spans="4:8" x14ac:dyDescent="0.25"/>
    <row r="435" spans="4:8" x14ac:dyDescent="0.25"/>
    <row r="436" spans="4:8" x14ac:dyDescent="0.25"/>
    <row r="437" spans="4:8" x14ac:dyDescent="0.25"/>
    <row r="438" spans="4:8" x14ac:dyDescent="0.25"/>
    <row r="439" spans="4:8" x14ac:dyDescent="0.25"/>
    <row r="440" spans="4:8" x14ac:dyDescent="0.25"/>
    <row r="441" spans="4:8" x14ac:dyDescent="0.25"/>
    <row r="442" spans="4:8" x14ac:dyDescent="0.25"/>
    <row r="443" spans="4:8" x14ac:dyDescent="0.25"/>
    <row r="444" spans="4:8" x14ac:dyDescent="0.25"/>
    <row r="445" spans="4:8" x14ac:dyDescent="0.25"/>
    <row r="446" spans="4:8" x14ac:dyDescent="0.25"/>
    <row r="447" spans="4:8" x14ac:dyDescent="0.25"/>
    <row r="448" spans="4:8" x14ac:dyDescent="0.25"/>
    <row r="449" spans="4:8" x14ac:dyDescent="0.25"/>
    <row r="450" spans="4:8" x14ac:dyDescent="0.25"/>
    <row r="451" spans="4:8" x14ac:dyDescent="0.25"/>
    <row r="452" spans="4:8" x14ac:dyDescent="0.25"/>
    <row r="453" spans="4:8" x14ac:dyDescent="0.25"/>
    <row r="454" spans="4:8" x14ac:dyDescent="0.25"/>
    <row r="455" spans="4:8" x14ac:dyDescent="0.25"/>
    <row r="456" spans="4:8" x14ac:dyDescent="0.25"/>
    <row r="457" spans="4:8" x14ac:dyDescent="0.25"/>
    <row r="458" spans="4:8" x14ac:dyDescent="0.25"/>
    <row r="459" spans="4:8" x14ac:dyDescent="0.25"/>
    <row r="460" spans="4:8" x14ac:dyDescent="0.25"/>
    <row r="461" spans="4:8" x14ac:dyDescent="0.25"/>
    <row r="462" spans="4:8" x14ac:dyDescent="0.25"/>
    <row r="463" spans="4:8" x14ac:dyDescent="0.25"/>
    <row r="464" spans="4:8" x14ac:dyDescent="0.25"/>
    <row r="465" spans="4:8" x14ac:dyDescent="0.25"/>
    <row r="466" spans="4:8" x14ac:dyDescent="0.25"/>
    <row r="467" spans="4:8" x14ac:dyDescent="0.25"/>
    <row r="468" spans="4:8" x14ac:dyDescent="0.25"/>
    <row r="469" spans="4:8" x14ac:dyDescent="0.25"/>
    <row r="470" spans="4:8" x14ac:dyDescent="0.25"/>
    <row r="471" spans="4:8" x14ac:dyDescent="0.25"/>
    <row r="472" spans="4:8" x14ac:dyDescent="0.25"/>
    <row r="473" spans="4:8" x14ac:dyDescent="0.25"/>
    <row r="474" spans="4:8" x14ac:dyDescent="0.25"/>
    <row r="475" spans="4:8" x14ac:dyDescent="0.25"/>
    <row r="476" spans="4:8" x14ac:dyDescent="0.25"/>
    <row r="477" spans="4:8" x14ac:dyDescent="0.25"/>
    <row r="478" spans="4:8" x14ac:dyDescent="0.25"/>
    <row r="479" spans="4:8" x14ac:dyDescent="0.25"/>
    <row r="480" spans="4:8" x14ac:dyDescent="0.25"/>
    <row r="481" spans="4:8" x14ac:dyDescent="0.25"/>
    <row r="482" spans="4:8" x14ac:dyDescent="0.25"/>
    <row r="483" spans="4:8" x14ac:dyDescent="0.25"/>
    <row r="484" spans="4:8" x14ac:dyDescent="0.25"/>
    <row r="485" spans="4:8" x14ac:dyDescent="0.25"/>
    <row r="486" spans="4:8" x14ac:dyDescent="0.25"/>
    <row r="487" spans="4:8" x14ac:dyDescent="0.25"/>
    <row r="488" spans="4:8" x14ac:dyDescent="0.25"/>
    <row r="489" spans="4:8" x14ac:dyDescent="0.25"/>
    <row r="490" spans="4:8" x14ac:dyDescent="0.25"/>
    <row r="491" spans="4:8" x14ac:dyDescent="0.25"/>
    <row r="492" spans="4:8" x14ac:dyDescent="0.25"/>
    <row r="493" spans="4:8" x14ac:dyDescent="0.25"/>
    <row r="494" spans="4:8" x14ac:dyDescent="0.25"/>
    <row r="495" spans="4:8" x14ac:dyDescent="0.25"/>
    <row r="496" spans="4:8" x14ac:dyDescent="0.25"/>
    <row r="497" spans="4:8" x14ac:dyDescent="0.25"/>
    <row r="498" spans="4:8" x14ac:dyDescent="0.25"/>
    <row r="499" spans="4:8" x14ac:dyDescent="0.25"/>
    <row r="500" spans="4:8" x14ac:dyDescent="0.25"/>
    <row r="501" spans="4:8" x14ac:dyDescent="0.25"/>
    <row r="502" spans="4:8" x14ac:dyDescent="0.25"/>
    <row r="503" spans="4:8" x14ac:dyDescent="0.25"/>
    <row r="504" spans="4:8" x14ac:dyDescent="0.25"/>
    <row r="505" spans="4:8" x14ac:dyDescent="0.25"/>
    <row r="506" spans="4:8" x14ac:dyDescent="0.25"/>
    <row r="507" spans="4:8" x14ac:dyDescent="0.25"/>
    <row r="508" spans="4:8" x14ac:dyDescent="0.25"/>
    <row r="509" spans="4:8" x14ac:dyDescent="0.25"/>
    <row r="510" spans="4:8" x14ac:dyDescent="0.25"/>
    <row r="511" spans="4:8" x14ac:dyDescent="0.25"/>
    <row r="512" spans="4:8" x14ac:dyDescent="0.25"/>
    <row r="513" spans="4:8" x14ac:dyDescent="0.25"/>
    <row r="514" spans="4:8" x14ac:dyDescent="0.25"/>
    <row r="515" spans="4:8" x14ac:dyDescent="0.25"/>
    <row r="516" spans="4:8" x14ac:dyDescent="0.25"/>
    <row r="517" spans="4:8" x14ac:dyDescent="0.25"/>
    <row r="518" spans="4:8" x14ac:dyDescent="0.25"/>
    <row r="519" spans="4:8" x14ac:dyDescent="0.25"/>
    <row r="520" spans="4:8" x14ac:dyDescent="0.25"/>
    <row r="521" spans="4:8" x14ac:dyDescent="0.25"/>
    <row r="522" spans="4:8" x14ac:dyDescent="0.25"/>
    <row r="523" spans="4:8" x14ac:dyDescent="0.25"/>
    <row r="524" spans="4:8" x14ac:dyDescent="0.25"/>
    <row r="525" spans="4:8" x14ac:dyDescent="0.25"/>
    <row r="526" spans="4:8" x14ac:dyDescent="0.25"/>
    <row r="527" spans="4:8" x14ac:dyDescent="0.25"/>
    <row r="528" spans="4:8" x14ac:dyDescent="0.25"/>
    <row r="529" spans="4:8" x14ac:dyDescent="0.25"/>
    <row r="530" spans="4:8" x14ac:dyDescent="0.25"/>
    <row r="531" spans="4:8" x14ac:dyDescent="0.25"/>
    <row r="532" spans="4:8" x14ac:dyDescent="0.25"/>
    <row r="533" spans="4:8" x14ac:dyDescent="0.25"/>
    <row r="534" spans="4:8" x14ac:dyDescent="0.25"/>
    <row r="535" spans="4:8" x14ac:dyDescent="0.25"/>
    <row r="536" spans="4:8" x14ac:dyDescent="0.25"/>
    <row r="537" spans="4:8" x14ac:dyDescent="0.25"/>
    <row r="538" spans="4:8" x14ac:dyDescent="0.25"/>
    <row r="539" spans="4:8" x14ac:dyDescent="0.25"/>
    <row r="540" spans="4:8" x14ac:dyDescent="0.25"/>
    <row r="541" spans="4:8" x14ac:dyDescent="0.25"/>
    <row r="542" spans="4:8" x14ac:dyDescent="0.25"/>
    <row r="543" spans="4:8" x14ac:dyDescent="0.25"/>
    <row r="544" spans="4:8" x14ac:dyDescent="0.25"/>
    <row r="545" spans="4:8" x14ac:dyDescent="0.25"/>
    <row r="546" spans="4:8" x14ac:dyDescent="0.25"/>
    <row r="547" spans="4:8" x14ac:dyDescent="0.25"/>
    <row r="548" spans="4:8" x14ac:dyDescent="0.25"/>
    <row r="549" spans="4:8" x14ac:dyDescent="0.25"/>
    <row r="550" spans="4:8" x14ac:dyDescent="0.25"/>
    <row r="551" spans="4:8" x14ac:dyDescent="0.25"/>
    <row r="552" spans="4:8" x14ac:dyDescent="0.25"/>
    <row r="553" spans="4:8" x14ac:dyDescent="0.25"/>
    <row r="554" spans="4:8" x14ac:dyDescent="0.25"/>
    <row r="555" spans="4:8" x14ac:dyDescent="0.25"/>
    <row r="556" spans="4:8" x14ac:dyDescent="0.25"/>
    <row r="557" spans="4:8" x14ac:dyDescent="0.25"/>
    <row r="558" spans="4:8" x14ac:dyDescent="0.25"/>
    <row r="559" spans="4:8" x14ac:dyDescent="0.25"/>
    <row r="560" spans="4:8" x14ac:dyDescent="0.25"/>
    <row r="561" spans="4:8" x14ac:dyDescent="0.25"/>
    <row r="562" spans="4:8" x14ac:dyDescent="0.25"/>
    <row r="563" spans="4:8" x14ac:dyDescent="0.25"/>
    <row r="564" spans="4:8" x14ac:dyDescent="0.25"/>
    <row r="565" spans="4:8" x14ac:dyDescent="0.25"/>
    <row r="566" spans="4:8" x14ac:dyDescent="0.25"/>
    <row r="567" spans="4:8" x14ac:dyDescent="0.25"/>
    <row r="568" spans="4:8" x14ac:dyDescent="0.25"/>
    <row r="569" spans="4:8" x14ac:dyDescent="0.25"/>
    <row r="570" spans="4:8" x14ac:dyDescent="0.25"/>
    <row r="571" spans="4:8" x14ac:dyDescent="0.25"/>
    <row r="572" spans="4:8" x14ac:dyDescent="0.25"/>
    <row r="573" spans="4:8" x14ac:dyDescent="0.25"/>
    <row r="574" spans="4:8" x14ac:dyDescent="0.25"/>
    <row r="575" spans="4:8" x14ac:dyDescent="0.25"/>
    <row r="576" spans="4:8" x14ac:dyDescent="0.25"/>
    <row r="577" spans="4:8" x14ac:dyDescent="0.25"/>
    <row r="578" spans="4:8" x14ac:dyDescent="0.25"/>
    <row r="579" spans="4:8" x14ac:dyDescent="0.25"/>
    <row r="580" spans="4:8" x14ac:dyDescent="0.25"/>
    <row r="581" spans="4:8" x14ac:dyDescent="0.25"/>
    <row r="582" spans="4:8" x14ac:dyDescent="0.25"/>
    <row r="583" spans="4:8" x14ac:dyDescent="0.25"/>
    <row r="584" spans="4:8" x14ac:dyDescent="0.25"/>
    <row r="585" spans="4:8" x14ac:dyDescent="0.25"/>
    <row r="586" spans="4:8" x14ac:dyDescent="0.25"/>
    <row r="587" spans="4:8" x14ac:dyDescent="0.25"/>
    <row r="588" spans="4:8" x14ac:dyDescent="0.25"/>
    <row r="589" spans="4:8" x14ac:dyDescent="0.25"/>
    <row r="590" spans="4:8" x14ac:dyDescent="0.25"/>
    <row r="591" spans="4:8" x14ac:dyDescent="0.25"/>
    <row r="592" spans="4:8" x14ac:dyDescent="0.25"/>
    <row r="593" spans="4:8" x14ac:dyDescent="0.25"/>
    <row r="594" spans="4:8" x14ac:dyDescent="0.25"/>
    <row r="595" spans="4:8" x14ac:dyDescent="0.25"/>
    <row r="596" spans="4:8" x14ac:dyDescent="0.25"/>
    <row r="597" spans="4:8" x14ac:dyDescent="0.25"/>
    <row r="598" spans="4:8" x14ac:dyDescent="0.25"/>
    <row r="599" spans="4:8" x14ac:dyDescent="0.25"/>
    <row r="600" spans="4:8" x14ac:dyDescent="0.25"/>
    <row r="601" spans="4:8" x14ac:dyDescent="0.25"/>
    <row r="602" spans="4:8" x14ac:dyDescent="0.25"/>
    <row r="603" spans="4:8" x14ac:dyDescent="0.25"/>
    <row r="604" spans="4:8" x14ac:dyDescent="0.25"/>
    <row r="605" spans="4:8" x14ac:dyDescent="0.25"/>
    <row r="606" spans="4:8" x14ac:dyDescent="0.25"/>
    <row r="607" spans="4:8" x14ac:dyDescent="0.25"/>
    <row r="608" spans="4:8" x14ac:dyDescent="0.25"/>
    <row r="609" spans="4:8" x14ac:dyDescent="0.25"/>
    <row r="610" spans="4:8" x14ac:dyDescent="0.25"/>
    <row r="611" spans="4:8" x14ac:dyDescent="0.25"/>
    <row r="612" spans="4:8" x14ac:dyDescent="0.25"/>
    <row r="613" spans="4:8" x14ac:dyDescent="0.25"/>
    <row r="614" spans="4:8" x14ac:dyDescent="0.25"/>
    <row r="615" spans="4:8" x14ac:dyDescent="0.25"/>
    <row r="616" spans="4:8" x14ac:dyDescent="0.25"/>
    <row r="617" spans="4:8" x14ac:dyDescent="0.25"/>
    <row r="618" spans="4:8" x14ac:dyDescent="0.25"/>
    <row r="619" spans="4:8" x14ac:dyDescent="0.25"/>
    <row r="620" spans="4:8" x14ac:dyDescent="0.25"/>
    <row r="621" spans="4:8" x14ac:dyDescent="0.25"/>
    <row r="622" spans="4:8" x14ac:dyDescent="0.25"/>
    <row r="623" spans="4:8" x14ac:dyDescent="0.25"/>
    <row r="624" spans="4:8" x14ac:dyDescent="0.25"/>
    <row r="625" spans="4:8" x14ac:dyDescent="0.25"/>
    <row r="626" spans="4:8" x14ac:dyDescent="0.25"/>
    <row r="627" spans="4:8" x14ac:dyDescent="0.25"/>
    <row r="628" spans="4:8" x14ac:dyDescent="0.25"/>
    <row r="629" spans="4:8" x14ac:dyDescent="0.25"/>
    <row r="630" spans="4:8" x14ac:dyDescent="0.25"/>
    <row r="631" spans="4:8" x14ac:dyDescent="0.25"/>
    <row r="632" spans="4:8" x14ac:dyDescent="0.25"/>
    <row r="633" spans="4:8" x14ac:dyDescent="0.25"/>
    <row r="634" spans="4:8" x14ac:dyDescent="0.25"/>
    <row r="635" spans="4:8" x14ac:dyDescent="0.25"/>
    <row r="636" spans="4:8" x14ac:dyDescent="0.25"/>
    <row r="637" spans="4:8" x14ac:dyDescent="0.25"/>
    <row r="638" spans="4:8" x14ac:dyDescent="0.25"/>
    <row r="639" spans="4:8" x14ac:dyDescent="0.25"/>
    <row r="640" spans="4:8" x14ac:dyDescent="0.25"/>
    <row r="641" spans="4:8" x14ac:dyDescent="0.25"/>
    <row r="642" spans="4:8" x14ac:dyDescent="0.25"/>
    <row r="643" spans="4:8" x14ac:dyDescent="0.25"/>
    <row r="644" spans="4:8" x14ac:dyDescent="0.25"/>
    <row r="645" spans="4:8" x14ac:dyDescent="0.25"/>
    <row r="646" spans="4:8" x14ac:dyDescent="0.25"/>
    <row r="647" spans="4:8" x14ac:dyDescent="0.25"/>
    <row r="648" spans="4:8" x14ac:dyDescent="0.25"/>
    <row r="649" spans="4:8" x14ac:dyDescent="0.25"/>
    <row r="650" spans="4:8" x14ac:dyDescent="0.25"/>
    <row r="651" spans="4:8" x14ac:dyDescent="0.25"/>
    <row r="652" spans="4:8" x14ac:dyDescent="0.25"/>
    <row r="653" spans="4:8" x14ac:dyDescent="0.25"/>
    <row r="654" spans="4:8" x14ac:dyDescent="0.25"/>
    <row r="655" spans="4:8" x14ac:dyDescent="0.25"/>
    <row r="656" spans="4:8" x14ac:dyDescent="0.25"/>
    <row r="657" spans="4:8" x14ac:dyDescent="0.25"/>
    <row r="658" spans="4:8" x14ac:dyDescent="0.25"/>
    <row r="659" spans="4:8" x14ac:dyDescent="0.25"/>
    <row r="660" spans="4:8" x14ac:dyDescent="0.25"/>
    <row r="661" spans="4:8" x14ac:dyDescent="0.25"/>
    <row r="662" spans="4:8" x14ac:dyDescent="0.25"/>
    <row r="663" spans="4:8" x14ac:dyDescent="0.25"/>
    <row r="664" spans="4:8" x14ac:dyDescent="0.25"/>
    <row r="665" spans="4:8" x14ac:dyDescent="0.25"/>
    <row r="666" spans="4:8" x14ac:dyDescent="0.25"/>
    <row r="667" spans="4:8" x14ac:dyDescent="0.25"/>
    <row r="668" spans="4:8" x14ac:dyDescent="0.25"/>
    <row r="669" spans="4:8" x14ac:dyDescent="0.25"/>
    <row r="670" spans="4:8" x14ac:dyDescent="0.25"/>
    <row r="671" spans="4:8" x14ac:dyDescent="0.25"/>
    <row r="672" spans="4:8" x14ac:dyDescent="0.25"/>
    <row r="673" spans="4:8" x14ac:dyDescent="0.25"/>
    <row r="674" spans="4:8" x14ac:dyDescent="0.25"/>
    <row r="675" spans="4:8" x14ac:dyDescent="0.25"/>
    <row r="676" spans="4:8" x14ac:dyDescent="0.25"/>
    <row r="677" spans="4:8" x14ac:dyDescent="0.25"/>
    <row r="678" spans="4:8" x14ac:dyDescent="0.25"/>
    <row r="679" spans="4:8" x14ac:dyDescent="0.25"/>
    <row r="680" spans="4:8" x14ac:dyDescent="0.25"/>
    <row r="681" spans="4:8" x14ac:dyDescent="0.25"/>
    <row r="682" spans="4:8" x14ac:dyDescent="0.25"/>
    <row r="683" spans="4:8" x14ac:dyDescent="0.25"/>
    <row r="684" spans="4:8" x14ac:dyDescent="0.25"/>
    <row r="685" spans="4:8" x14ac:dyDescent="0.25"/>
    <row r="686" spans="4:8" x14ac:dyDescent="0.25"/>
    <row r="687" spans="4:8" x14ac:dyDescent="0.25"/>
    <row r="688" spans="4:8" x14ac:dyDescent="0.25"/>
    <row r="689" spans="4:8" x14ac:dyDescent="0.25"/>
    <row r="690" spans="4:8" x14ac:dyDescent="0.25"/>
    <row r="691" spans="4:8" x14ac:dyDescent="0.25"/>
    <row r="692" spans="4:8" x14ac:dyDescent="0.25"/>
    <row r="693" spans="4:8" x14ac:dyDescent="0.25"/>
    <row r="694" spans="4:8" x14ac:dyDescent="0.25"/>
    <row r="695" spans="4:8" x14ac:dyDescent="0.25"/>
    <row r="696" spans="4:8" x14ac:dyDescent="0.25"/>
    <row r="697" spans="4:8" x14ac:dyDescent="0.25"/>
    <row r="698" spans="4:8" x14ac:dyDescent="0.25"/>
    <row r="699" spans="4:8" x14ac:dyDescent="0.25"/>
    <row r="700" spans="4:8" x14ac:dyDescent="0.25"/>
    <row r="701" spans="4:8" x14ac:dyDescent="0.25"/>
    <row r="702" spans="4:8" x14ac:dyDescent="0.25"/>
    <row r="703" spans="4:8" x14ac:dyDescent="0.25"/>
    <row r="704" spans="4:8" x14ac:dyDescent="0.25"/>
    <row r="705" spans="4:8" x14ac:dyDescent="0.25"/>
    <row r="706" spans="4:8" x14ac:dyDescent="0.25"/>
    <row r="707" spans="4:8" x14ac:dyDescent="0.25"/>
    <row r="708" spans="4:8" x14ac:dyDescent="0.25"/>
    <row r="709" spans="4:8" x14ac:dyDescent="0.25"/>
    <row r="710" spans="4:8" x14ac:dyDescent="0.25"/>
    <row r="711" spans="4:8" x14ac:dyDescent="0.25"/>
    <row r="712" spans="4:8" x14ac:dyDescent="0.25"/>
    <row r="713" spans="4:8" x14ac:dyDescent="0.25"/>
    <row r="714" spans="4:8" x14ac:dyDescent="0.25"/>
    <row r="715" spans="4:8" x14ac:dyDescent="0.25"/>
    <row r="716" spans="4:8" x14ac:dyDescent="0.25"/>
    <row r="717" spans="4:8" x14ac:dyDescent="0.25"/>
    <row r="718" spans="4:8" x14ac:dyDescent="0.25"/>
    <row r="719" spans="4:8" x14ac:dyDescent="0.25"/>
    <row r="720" spans="4:8" x14ac:dyDescent="0.25"/>
    <row r="721" spans="4:8" x14ac:dyDescent="0.25"/>
    <row r="722" spans="4:8" x14ac:dyDescent="0.25"/>
    <row r="723" spans="4:8" x14ac:dyDescent="0.25"/>
    <row r="724" spans="4:8" x14ac:dyDescent="0.25"/>
    <row r="725" spans="4:8" x14ac:dyDescent="0.25"/>
    <row r="726" spans="4:8" x14ac:dyDescent="0.25"/>
    <row r="727" spans="4:8" x14ac:dyDescent="0.25"/>
    <row r="728" spans="4:8" x14ac:dyDescent="0.25"/>
    <row r="729" spans="4:8" x14ac:dyDescent="0.25"/>
    <row r="730" spans="4:8" x14ac:dyDescent="0.25"/>
    <row r="731" spans="4:8" x14ac:dyDescent="0.25"/>
    <row r="732" spans="4:8" x14ac:dyDescent="0.25"/>
    <row r="733" spans="4:8" x14ac:dyDescent="0.25"/>
    <row r="734" spans="4:8" x14ac:dyDescent="0.25"/>
    <row r="735" spans="4:8" x14ac:dyDescent="0.25"/>
    <row r="736" spans="4:8" x14ac:dyDescent="0.25"/>
    <row r="737" spans="4:8" x14ac:dyDescent="0.25"/>
    <row r="738" spans="4:8" x14ac:dyDescent="0.25"/>
    <row r="739" spans="4:8" x14ac:dyDescent="0.25"/>
    <row r="740" spans="4:8" x14ac:dyDescent="0.25"/>
    <row r="741" spans="4:8" x14ac:dyDescent="0.25"/>
    <row r="742" spans="4:8" x14ac:dyDescent="0.25"/>
    <row r="743" spans="4:8" x14ac:dyDescent="0.25"/>
    <row r="744" spans="4:8" x14ac:dyDescent="0.25"/>
    <row r="745" spans="4:8" x14ac:dyDescent="0.25"/>
    <row r="746" spans="4:8" x14ac:dyDescent="0.25"/>
    <row r="747" spans="4:8" x14ac:dyDescent="0.25"/>
    <row r="748" spans="4:8" x14ac:dyDescent="0.25"/>
    <row r="749" spans="4:8" x14ac:dyDescent="0.25"/>
    <row r="750" spans="4:8" x14ac:dyDescent="0.25"/>
    <row r="751" spans="4:8" x14ac:dyDescent="0.25"/>
    <row r="752" spans="4:8" x14ac:dyDescent="0.25"/>
    <row r="753" spans="4:8" x14ac:dyDescent="0.25"/>
    <row r="754" spans="4:8" x14ac:dyDescent="0.25"/>
    <row r="755" spans="4:8" x14ac:dyDescent="0.25"/>
    <row r="756" spans="4:8" x14ac:dyDescent="0.25"/>
    <row r="757" spans="4:8" x14ac:dyDescent="0.25"/>
    <row r="758" spans="4:8" x14ac:dyDescent="0.25"/>
    <row r="759" spans="4:8" x14ac:dyDescent="0.25"/>
    <row r="760" spans="4:8" x14ac:dyDescent="0.25"/>
    <row r="761" spans="4:8" x14ac:dyDescent="0.25"/>
    <row r="762" spans="4:8" x14ac:dyDescent="0.25"/>
    <row r="763" spans="4:8" x14ac:dyDescent="0.25"/>
    <row r="764" spans="4:8" x14ac:dyDescent="0.25"/>
    <row r="765" spans="4:8" x14ac:dyDescent="0.25"/>
    <row r="766" spans="4:8" x14ac:dyDescent="0.25"/>
    <row r="767" spans="4:8" x14ac:dyDescent="0.25"/>
    <row r="768" spans="4:8" x14ac:dyDescent="0.25"/>
    <row r="769" spans="4:8" x14ac:dyDescent="0.25"/>
    <row r="770" spans="4:8" x14ac:dyDescent="0.25"/>
    <row r="771" spans="4:8" x14ac:dyDescent="0.25"/>
    <row r="772" spans="4:8" x14ac:dyDescent="0.25"/>
    <row r="773" spans="4:8" x14ac:dyDescent="0.25"/>
    <row r="774" spans="4:8" x14ac:dyDescent="0.25"/>
    <row r="775" spans="4:8" x14ac:dyDescent="0.25"/>
    <row r="776" spans="4:8" x14ac:dyDescent="0.25"/>
    <row r="777" spans="4:8" x14ac:dyDescent="0.25"/>
    <row r="778" spans="4:8" x14ac:dyDescent="0.25"/>
    <row r="779" spans="4:8" x14ac:dyDescent="0.25"/>
    <row r="780" spans="4:8" x14ac:dyDescent="0.25"/>
    <row r="781" spans="4:8" x14ac:dyDescent="0.25"/>
    <row r="782" spans="4:8" x14ac:dyDescent="0.25"/>
    <row r="783" spans="4:8" x14ac:dyDescent="0.25"/>
    <row r="784" spans="4:8" x14ac:dyDescent="0.25"/>
    <row r="785" spans="4:8" x14ac:dyDescent="0.25"/>
    <row r="786" spans="4:8" x14ac:dyDescent="0.25"/>
    <row r="787" spans="4:8" x14ac:dyDescent="0.25"/>
    <row r="788" spans="4:8" x14ac:dyDescent="0.25"/>
    <row r="789" spans="4:8" x14ac:dyDescent="0.25"/>
    <row r="790" spans="4:8" x14ac:dyDescent="0.25"/>
    <row r="791" spans="4:8" x14ac:dyDescent="0.25"/>
    <row r="792" spans="4:8" x14ac:dyDescent="0.25"/>
    <row r="793" spans="4:8" x14ac:dyDescent="0.25"/>
    <row r="794" spans="4:8" x14ac:dyDescent="0.25"/>
    <row r="795" spans="4:8" x14ac:dyDescent="0.25"/>
    <row r="796" spans="4:8" x14ac:dyDescent="0.25"/>
    <row r="797" spans="4:8" x14ac:dyDescent="0.25"/>
    <row r="798" spans="4:8" x14ac:dyDescent="0.25"/>
    <row r="799" spans="4:8" x14ac:dyDescent="0.25"/>
    <row r="800" spans="4:8" x14ac:dyDescent="0.25"/>
    <row r="801" spans="4:8" x14ac:dyDescent="0.25"/>
    <row r="802" spans="4:8" x14ac:dyDescent="0.25"/>
    <row r="803" spans="4:8" x14ac:dyDescent="0.25"/>
    <row r="804" spans="4:8" x14ac:dyDescent="0.25"/>
    <row r="805" spans="4:8" x14ac:dyDescent="0.25"/>
    <row r="806" spans="4:8" x14ac:dyDescent="0.25"/>
    <row r="807" spans="4:8" x14ac:dyDescent="0.25"/>
    <row r="808" spans="4:8" x14ac:dyDescent="0.25"/>
    <row r="809" spans="4:8" x14ac:dyDescent="0.25"/>
    <row r="810" spans="4:8" x14ac:dyDescent="0.25"/>
    <row r="811" spans="4:8" x14ac:dyDescent="0.25"/>
    <row r="812" spans="4:8" x14ac:dyDescent="0.25"/>
    <row r="813" spans="4:8" x14ac:dyDescent="0.25"/>
    <row r="814" spans="4:8" x14ac:dyDescent="0.25"/>
    <row r="815" spans="4:8" x14ac:dyDescent="0.25"/>
    <row r="816" spans="4:8" x14ac:dyDescent="0.25"/>
    <row r="817" spans="4:8" x14ac:dyDescent="0.25"/>
    <row r="818" spans="4:8" x14ac:dyDescent="0.25"/>
    <row r="819" spans="4:8" x14ac:dyDescent="0.25"/>
    <row r="820" spans="4:8" x14ac:dyDescent="0.25"/>
    <row r="821" spans="4:8" x14ac:dyDescent="0.25"/>
    <row r="822" spans="4:8" x14ac:dyDescent="0.25"/>
    <row r="823" spans="4:8" x14ac:dyDescent="0.25"/>
    <row r="824" spans="4:8" x14ac:dyDescent="0.25"/>
    <row r="825" spans="4:8" x14ac:dyDescent="0.25"/>
    <row r="826" spans="4:8" x14ac:dyDescent="0.25"/>
    <row r="827" spans="4:8" x14ac:dyDescent="0.25"/>
    <row r="828" spans="4:8" x14ac:dyDescent="0.25"/>
    <row r="829" spans="4:8" x14ac:dyDescent="0.25"/>
    <row r="830" spans="4:8" x14ac:dyDescent="0.25"/>
    <row r="831" spans="4:8" x14ac:dyDescent="0.25"/>
    <row r="832" spans="4:8" x14ac:dyDescent="0.25"/>
    <row r="833" spans="4:8" x14ac:dyDescent="0.25"/>
    <row r="834" spans="4:8" x14ac:dyDescent="0.25"/>
    <row r="835" spans="4:8" x14ac:dyDescent="0.25"/>
    <row r="836" spans="4:8" x14ac:dyDescent="0.25"/>
    <row r="837" spans="4:8" x14ac:dyDescent="0.25"/>
    <row r="838" spans="4:8" x14ac:dyDescent="0.25"/>
    <row r="839" spans="4:8" x14ac:dyDescent="0.25"/>
    <row r="840" spans="4:8" x14ac:dyDescent="0.25"/>
    <row r="841" spans="4:8" x14ac:dyDescent="0.25"/>
    <row r="842" spans="4:8" x14ac:dyDescent="0.25"/>
    <row r="843" spans="4:8" x14ac:dyDescent="0.25"/>
    <row r="844" spans="4:8" x14ac:dyDescent="0.25"/>
    <row r="845" spans="4:8" x14ac:dyDescent="0.25"/>
    <row r="846" spans="4:8" x14ac:dyDescent="0.25"/>
    <row r="847" spans="4:8" x14ac:dyDescent="0.25"/>
    <row r="848" spans="4:8" x14ac:dyDescent="0.25"/>
    <row r="849" spans="4:8" x14ac:dyDescent="0.25"/>
    <row r="850" spans="4:8" x14ac:dyDescent="0.25"/>
    <row r="851" spans="4:8" x14ac:dyDescent="0.25"/>
    <row r="852" spans="4:8" x14ac:dyDescent="0.25"/>
    <row r="853" spans="4:8" x14ac:dyDescent="0.25"/>
    <row r="854" spans="4:8" x14ac:dyDescent="0.25"/>
    <row r="855" spans="4:8" x14ac:dyDescent="0.25"/>
    <row r="856" spans="4:8" x14ac:dyDescent="0.25"/>
    <row r="857" spans="4:8" x14ac:dyDescent="0.25"/>
    <row r="858" spans="4:8" x14ac:dyDescent="0.25"/>
    <row r="859" spans="4:8" x14ac:dyDescent="0.25"/>
    <row r="860" spans="4:8" x14ac:dyDescent="0.25"/>
    <row r="861" spans="4:8" x14ac:dyDescent="0.25"/>
    <row r="862" spans="4:8" x14ac:dyDescent="0.25"/>
    <row r="863" spans="4:8" x14ac:dyDescent="0.25"/>
    <row r="864" spans="4:8" x14ac:dyDescent="0.25"/>
    <row r="865" spans="4:8" x14ac:dyDescent="0.25"/>
    <row r="866" spans="4:8" x14ac:dyDescent="0.25"/>
    <row r="867" spans="4:8" x14ac:dyDescent="0.25"/>
    <row r="868" spans="4:8" x14ac:dyDescent="0.25"/>
    <row r="869" spans="4:8" x14ac:dyDescent="0.25"/>
    <row r="870" spans="4:8" x14ac:dyDescent="0.25"/>
    <row r="871" spans="4:8" x14ac:dyDescent="0.25"/>
    <row r="872" spans="4:8" x14ac:dyDescent="0.25"/>
    <row r="873" spans="4:8" x14ac:dyDescent="0.25"/>
    <row r="874" spans="4:8" x14ac:dyDescent="0.25"/>
    <row r="875" spans="4:8" x14ac:dyDescent="0.25"/>
    <row r="876" spans="4:8" x14ac:dyDescent="0.25"/>
    <row r="877" spans="4:8" x14ac:dyDescent="0.25"/>
    <row r="878" spans="4:8" x14ac:dyDescent="0.25"/>
    <row r="879" spans="4:8" x14ac:dyDescent="0.25"/>
    <row r="880" spans="4:8" x14ac:dyDescent="0.25"/>
    <row r="881" spans="4:8" x14ac:dyDescent="0.25"/>
    <row r="882" spans="4:8" x14ac:dyDescent="0.25"/>
    <row r="883" spans="4:8" x14ac:dyDescent="0.25"/>
    <row r="884" spans="4:8" x14ac:dyDescent="0.25"/>
    <row r="885" spans="4:8" x14ac:dyDescent="0.25"/>
    <row r="886" spans="4:8" x14ac:dyDescent="0.25"/>
    <row r="887" spans="4:8" x14ac:dyDescent="0.25"/>
    <row r="888" spans="4:8" x14ac:dyDescent="0.25"/>
    <row r="889" spans="4:8" x14ac:dyDescent="0.25"/>
    <row r="890" spans="4:8" x14ac:dyDescent="0.25"/>
    <row r="891" spans="4:8" x14ac:dyDescent="0.25"/>
    <row r="892" spans="4:8" x14ac:dyDescent="0.25"/>
    <row r="893" spans="4:8" x14ac:dyDescent="0.25"/>
    <row r="894" spans="4:8" x14ac:dyDescent="0.25"/>
    <row r="895" spans="4:8" x14ac:dyDescent="0.25"/>
    <row r="896" spans="4:8" x14ac:dyDescent="0.25"/>
    <row r="897" spans="4:8" x14ac:dyDescent="0.25"/>
    <row r="898" spans="4:8" x14ac:dyDescent="0.25"/>
    <row r="899" spans="4:8" x14ac:dyDescent="0.25"/>
    <row r="900" spans="4:8" x14ac:dyDescent="0.25"/>
    <row r="901" spans="4:8" x14ac:dyDescent="0.25"/>
    <row r="902" spans="4:8" x14ac:dyDescent="0.25"/>
    <row r="903" spans="4:8" x14ac:dyDescent="0.25"/>
    <row r="904" spans="4:8" x14ac:dyDescent="0.25"/>
    <row r="905" spans="4:8" x14ac:dyDescent="0.25"/>
    <row r="906" spans="4:8" x14ac:dyDescent="0.25"/>
    <row r="907" spans="4:8" x14ac:dyDescent="0.25"/>
    <row r="908" spans="4:8" x14ac:dyDescent="0.25"/>
    <row r="909" spans="4:8" x14ac:dyDescent="0.25"/>
    <row r="910" spans="4:8" x14ac:dyDescent="0.25"/>
    <row r="911" spans="4:8" x14ac:dyDescent="0.25"/>
    <row r="912" spans="4:8" x14ac:dyDescent="0.25"/>
    <row r="913" spans="4:8" x14ac:dyDescent="0.25"/>
    <row r="914" spans="4:8" x14ac:dyDescent="0.25"/>
    <row r="915" spans="4:8" x14ac:dyDescent="0.25"/>
    <row r="916" spans="4:8" x14ac:dyDescent="0.25"/>
    <row r="917" spans="4:8" x14ac:dyDescent="0.25"/>
    <row r="918" spans="4:8" x14ac:dyDescent="0.25"/>
    <row r="919" spans="4:8" x14ac:dyDescent="0.25"/>
    <row r="920" spans="4:8" x14ac:dyDescent="0.25"/>
    <row r="921" spans="4:8" x14ac:dyDescent="0.25"/>
    <row r="922" spans="4:8" x14ac:dyDescent="0.25"/>
    <row r="923" spans="4:8" x14ac:dyDescent="0.25"/>
    <row r="924" spans="4:8" x14ac:dyDescent="0.25"/>
    <row r="925" spans="4:8" x14ac:dyDescent="0.25"/>
    <row r="926" spans="4:8" x14ac:dyDescent="0.25"/>
    <row r="927" spans="4:8" x14ac:dyDescent="0.25"/>
    <row r="928" spans="4:8" x14ac:dyDescent="0.25"/>
    <row r="929" spans="4:8" x14ac:dyDescent="0.25"/>
    <row r="930" spans="4:8" x14ac:dyDescent="0.25"/>
    <row r="931" spans="4:8" x14ac:dyDescent="0.25"/>
    <row r="932" spans="4:8" x14ac:dyDescent="0.25"/>
    <row r="933" spans="4:8" x14ac:dyDescent="0.25"/>
    <row r="934" spans="4:8" x14ac:dyDescent="0.25"/>
    <row r="935" spans="4:8" x14ac:dyDescent="0.25"/>
    <row r="936" spans="4:8" x14ac:dyDescent="0.25"/>
    <row r="937" spans="4:8" x14ac:dyDescent="0.25"/>
    <row r="938" spans="4:8" x14ac:dyDescent="0.25"/>
    <row r="939" spans="4:8" x14ac:dyDescent="0.25"/>
    <row r="940" spans="4:8" x14ac:dyDescent="0.25"/>
    <row r="941" spans="4:8" x14ac:dyDescent="0.25"/>
    <row r="942" spans="4:8" x14ac:dyDescent="0.25"/>
    <row r="943" spans="4:8" x14ac:dyDescent="0.25"/>
    <row r="944" spans="4:8" x14ac:dyDescent="0.25"/>
    <row r="945" spans="4:8" x14ac:dyDescent="0.25"/>
    <row r="946" spans="4:8" x14ac:dyDescent="0.25"/>
    <row r="947" spans="4:8" x14ac:dyDescent="0.25"/>
    <row r="948" spans="4:8" x14ac:dyDescent="0.25"/>
    <row r="949" spans="4:8" x14ac:dyDescent="0.25"/>
    <row r="950" spans="4:8" x14ac:dyDescent="0.25"/>
    <row r="951" spans="4:8" x14ac:dyDescent="0.25"/>
    <row r="952" spans="4:8" x14ac:dyDescent="0.25"/>
    <row r="953" spans="4:8" x14ac:dyDescent="0.25"/>
    <row r="954" spans="4:8" x14ac:dyDescent="0.25"/>
    <row r="955" spans="4:8" x14ac:dyDescent="0.25"/>
    <row r="956" spans="4:8" x14ac:dyDescent="0.25"/>
    <row r="957" spans="4:8" x14ac:dyDescent="0.25"/>
    <row r="958" spans="4:8" x14ac:dyDescent="0.25"/>
    <row r="959" spans="4:8" x14ac:dyDescent="0.25"/>
    <row r="960" spans="4:8" x14ac:dyDescent="0.25"/>
    <row r="961" spans="4:8" x14ac:dyDescent="0.25"/>
    <row r="962" spans="4:8" x14ac:dyDescent="0.25"/>
    <row r="963" spans="4:8" x14ac:dyDescent="0.25"/>
    <row r="964" spans="4:8" x14ac:dyDescent="0.25"/>
    <row r="965" spans="4:8" x14ac:dyDescent="0.25"/>
    <row r="966" spans="4:8" x14ac:dyDescent="0.25"/>
    <row r="967" spans="4:8" x14ac:dyDescent="0.25"/>
    <row r="968" spans="4:8" x14ac:dyDescent="0.25"/>
    <row r="969" spans="4:8" x14ac:dyDescent="0.25"/>
    <row r="970" spans="4:8" x14ac:dyDescent="0.25"/>
    <row r="971" spans="4:8" x14ac:dyDescent="0.25"/>
    <row r="972" spans="4:8" x14ac:dyDescent="0.25"/>
    <row r="973" spans="4:8" x14ac:dyDescent="0.25"/>
    <row r="974" spans="4:8" x14ac:dyDescent="0.25"/>
    <row r="975" spans="4:8" x14ac:dyDescent="0.25"/>
    <row r="976" spans="4:8" x14ac:dyDescent="0.25"/>
    <row r="977" spans="4:8" x14ac:dyDescent="0.25"/>
    <row r="978" spans="4:8" x14ac:dyDescent="0.25"/>
    <row r="979" spans="4:8" x14ac:dyDescent="0.25"/>
    <row r="980" spans="4:8" x14ac:dyDescent="0.25"/>
    <row r="981" spans="4:8" x14ac:dyDescent="0.25"/>
    <row r="982" spans="4:8" x14ac:dyDescent="0.25"/>
    <row r="983" spans="4:8" x14ac:dyDescent="0.25"/>
    <row r="984" spans="4:8" x14ac:dyDescent="0.25"/>
    <row r="985" spans="4:8" x14ac:dyDescent="0.25"/>
    <row r="986" spans="4:8" x14ac:dyDescent="0.25"/>
    <row r="987" spans="4:8" x14ac:dyDescent="0.25"/>
    <row r="988" spans="4:8" x14ac:dyDescent="0.25"/>
    <row r="989" spans="4:8" x14ac:dyDescent="0.25"/>
    <row r="990" spans="4:8" x14ac:dyDescent="0.25"/>
    <row r="991" spans="4:8" x14ac:dyDescent="0.25"/>
    <row r="992" spans="4:8" x14ac:dyDescent="0.25"/>
    <row r="993" spans="4:8" x14ac:dyDescent="0.25"/>
    <row r="994" spans="4:8" x14ac:dyDescent="0.25"/>
    <row r="995" spans="4:8" x14ac:dyDescent="0.25"/>
    <row r="996" spans="4:8" x14ac:dyDescent="0.25"/>
    <row r="997" spans="4:8" x14ac:dyDescent="0.25"/>
    <row r="998" spans="4:8" x14ac:dyDescent="0.25"/>
    <row r="999" spans="4:8" x14ac:dyDescent="0.25"/>
    <row r="1000" spans="4:8" x14ac:dyDescent="0.25"/>
  </sheetData>
  <dataValidations count="6">
    <dataValidation type="list" allowBlank="1" sqref="D10:D1000">
      <formula1>"Bs,USD"</formula1>
    </dataValidation>
    <dataValidation type="list" allowBlank="1" sqref="D2:D1000">
      <formula1>"Bs,USD"</formula1>
    </dataValidation>
    <dataValidation type="list" allowBlank="1" sqref="G10:G1000">
      <formula1>"pendiente,pagada,vencida,parcial"</formula1>
    </dataValidation>
    <dataValidation type="list" allowBlank="1" sqref="G2:G1000">
      <formula1>"pendiente,pagada,vencida,parcial"</formula1>
    </dataValidation>
    <dataValidation type="list" allowBlank="1" sqref="H10:H1000">
      <formula1>Listas!$B$2:$B$3</formula1>
    </dataValidation>
    <dataValidation type="list" allowBlank="1" sqref="H2:H1000">
      <formula1>Listas!$B$2:$B$3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19</v>
      </c>
      <c r="B1" s="1" t="s">
        <v>45</v>
      </c>
      <c r="D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</cols>
  <sheetData>
    <row r="1" spans="1:6" x14ac:dyDescent="0.25">
      <c r="A1" s="1" t="s">
        <v>47</v>
      </c>
      <c r="B1" s="1" t="s">
        <v>48</v>
      </c>
      <c r="C1" s="1" t="s">
        <v>49</v>
      </c>
      <c r="D1" s="1" t="s">
        <v>50</v>
      </c>
      <c r="F1" s="2" t="s">
        <v>51</v>
      </c>
    </row>
    <row r="2" spans="1:4" x14ac:dyDescent="0.25">
      <c r="A2" s="4" t="s">
        <v>3</v>
      </c>
      <c r="B2" s="4" t="s">
        <v>52</v>
      </c>
      <c r="C2" s="4" t="s">
        <v>3</v>
      </c>
      <c r="D2" s="5">
        <v>1234</v>
      </c>
    </row>
    <row r="3" spans="1:4" x14ac:dyDescent="0.25">
      <c r="A3" s="4" t="s">
        <v>5</v>
      </c>
      <c r="B3" s="4" t="s">
        <v>53</v>
      </c>
      <c r="C3" s="4" t="s">
        <v>5</v>
      </c>
      <c r="D3" s="5">
        <v>5678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dataValidations count="2">
    <dataValidation type="list" allowBlank="1" sqref="C10:C1000">
      <formula1>"admin,pareja"</formula1>
    </dataValidation>
    <dataValidation type="list" allowBlank="1" sqref="C2:C1000">
      <formula1>"admin,pareja"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23" customWidth="1"/>
    <col min="6" max="6" width="14" customWidth="1"/>
    <col min="7" max="7" width="17" customWidth="1"/>
    <col min="8" max="8" width="30" customWidth="1"/>
  </cols>
  <sheetData>
    <row r="1" spans="1:10" x14ac:dyDescent="0.25">
      <c r="A1" s="1" t="s">
        <v>18</v>
      </c>
      <c r="B1" s="1" t="s">
        <v>19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26</v>
      </c>
      <c r="J1" s="2" t="s">
        <v>59</v>
      </c>
    </row>
    <row r="2" spans="1:8" x14ac:dyDescent="0.25">
      <c r="A2" s="3" t="s">
        <v>29</v>
      </c>
      <c r="B2" s="3" t="s">
        <v>30</v>
      </c>
      <c r="C2" s="3">
        <v>100</v>
      </c>
      <c r="D2" s="3">
        <v>220</v>
      </c>
      <c r="E2" s="3">
        <f>C2*D2</f>
      </c>
      <c r="F2" s="3" t="s">
        <v>60</v>
      </c>
      <c r="G2" s="3" t="s">
        <v>61</v>
      </c>
      <c r="H2" s="3" t="s">
        <v>32</v>
      </c>
    </row>
    <row r="3" spans="6:7" x14ac:dyDescent="0.25"/>
    <row r="4" spans="6:7" x14ac:dyDescent="0.25"/>
    <row r="5" spans="6:7" x14ac:dyDescent="0.25"/>
    <row r="6" spans="6:7" x14ac:dyDescent="0.25"/>
    <row r="7" spans="6:7" x14ac:dyDescent="0.25"/>
    <row r="8" spans="6:7" x14ac:dyDescent="0.25"/>
    <row r="9" spans="6:7" x14ac:dyDescent="0.25"/>
    <row r="10" spans="6:7" x14ac:dyDescent="0.25"/>
    <row r="11" spans="6:7" x14ac:dyDescent="0.25"/>
    <row r="12" spans="6:7" x14ac:dyDescent="0.25"/>
    <row r="13" spans="6:7" x14ac:dyDescent="0.25"/>
    <row r="14" spans="6:7" x14ac:dyDescent="0.25"/>
    <row r="15" spans="6:7" x14ac:dyDescent="0.25"/>
    <row r="16" spans="6:7" x14ac:dyDescent="0.25"/>
    <row r="17" spans="6:7" x14ac:dyDescent="0.25"/>
    <row r="18" spans="6:7" x14ac:dyDescent="0.25"/>
    <row r="19" spans="6:7" x14ac:dyDescent="0.25"/>
    <row r="20" spans="6:7" x14ac:dyDescent="0.25"/>
    <row r="21" spans="6:7" x14ac:dyDescent="0.25"/>
    <row r="22" spans="6:7" x14ac:dyDescent="0.25"/>
    <row r="23" spans="6:7" x14ac:dyDescent="0.25"/>
    <row r="24" spans="6:7" x14ac:dyDescent="0.25"/>
    <row r="25" spans="6:7" x14ac:dyDescent="0.25"/>
    <row r="26" spans="6:7" x14ac:dyDescent="0.25"/>
    <row r="27" spans="6:7" x14ac:dyDescent="0.25"/>
    <row r="28" spans="6:7" x14ac:dyDescent="0.25"/>
    <row r="29" spans="6:7" x14ac:dyDescent="0.25"/>
    <row r="30" spans="6:7" x14ac:dyDescent="0.25"/>
    <row r="31" spans="6:7" x14ac:dyDescent="0.25"/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  <row r="61" spans="6:7" x14ac:dyDescent="0.25"/>
    <row r="62" spans="6:7" x14ac:dyDescent="0.25"/>
    <row r="63" spans="6:7" x14ac:dyDescent="0.25"/>
    <row r="64" spans="6:7" x14ac:dyDescent="0.25"/>
    <row r="65" spans="6:7" x14ac:dyDescent="0.25"/>
    <row r="66" spans="6:7" x14ac:dyDescent="0.25"/>
    <row r="67" spans="6:7" x14ac:dyDescent="0.25"/>
    <row r="68" spans="6:7" x14ac:dyDescent="0.25"/>
    <row r="69" spans="6:7" x14ac:dyDescent="0.25"/>
    <row r="70" spans="6:7" x14ac:dyDescent="0.25"/>
    <row r="71" spans="6:7" x14ac:dyDescent="0.25"/>
    <row r="72" spans="6:7" x14ac:dyDescent="0.25"/>
    <row r="73" spans="6:7" x14ac:dyDescent="0.25"/>
    <row r="74" spans="6:7" x14ac:dyDescent="0.25"/>
    <row r="75" spans="6:7" x14ac:dyDescent="0.25"/>
    <row r="76" spans="6:7" x14ac:dyDescent="0.25"/>
    <row r="77" spans="6:7" x14ac:dyDescent="0.25"/>
    <row r="78" spans="6:7" x14ac:dyDescent="0.25"/>
    <row r="79" spans="6:7" x14ac:dyDescent="0.25"/>
    <row r="80" spans="6:7" x14ac:dyDescent="0.25"/>
    <row r="81" spans="6:7" x14ac:dyDescent="0.25"/>
    <row r="82" spans="6:7" x14ac:dyDescent="0.25"/>
    <row r="83" spans="6:7" x14ac:dyDescent="0.25"/>
    <row r="84" spans="6:7" x14ac:dyDescent="0.25"/>
    <row r="85" spans="6:7" x14ac:dyDescent="0.25"/>
    <row r="86" spans="6:7" x14ac:dyDescent="0.25"/>
    <row r="87" spans="6:7" x14ac:dyDescent="0.25"/>
    <row r="88" spans="6:7" x14ac:dyDescent="0.25"/>
    <row r="89" spans="6:7" x14ac:dyDescent="0.25"/>
    <row r="90" spans="6:7" x14ac:dyDescent="0.25"/>
    <row r="91" spans="6:7" x14ac:dyDescent="0.25"/>
    <row r="92" spans="6:7" x14ac:dyDescent="0.25"/>
    <row r="93" spans="6:7" x14ac:dyDescent="0.25"/>
    <row r="94" spans="6:7" x14ac:dyDescent="0.25"/>
    <row r="95" spans="6:7" x14ac:dyDescent="0.25"/>
    <row r="96" spans="6:7" x14ac:dyDescent="0.25"/>
    <row r="97" spans="6:7" x14ac:dyDescent="0.25"/>
    <row r="98" spans="6:7" x14ac:dyDescent="0.25"/>
    <row r="99" spans="6:7" x14ac:dyDescent="0.25"/>
    <row r="100" spans="6:7" x14ac:dyDescent="0.25"/>
    <row r="101" spans="6:7" x14ac:dyDescent="0.25"/>
    <row r="102" spans="6:7" x14ac:dyDescent="0.25"/>
    <row r="103" spans="6:7" x14ac:dyDescent="0.25"/>
    <row r="104" spans="6:7" x14ac:dyDescent="0.25"/>
    <row r="105" spans="6:7" x14ac:dyDescent="0.25"/>
    <row r="106" spans="6:7" x14ac:dyDescent="0.25"/>
    <row r="107" spans="6:7" x14ac:dyDescent="0.25"/>
    <row r="108" spans="6:7" x14ac:dyDescent="0.25"/>
    <row r="109" spans="6:7" x14ac:dyDescent="0.25"/>
    <row r="110" spans="6:7" x14ac:dyDescent="0.25"/>
    <row r="111" spans="6:7" x14ac:dyDescent="0.25"/>
    <row r="112" spans="6:7" x14ac:dyDescent="0.25"/>
    <row r="113" spans="6:7" x14ac:dyDescent="0.25"/>
    <row r="114" spans="6:7" x14ac:dyDescent="0.25"/>
    <row r="115" spans="6:7" x14ac:dyDescent="0.25"/>
    <row r="116" spans="6:7" x14ac:dyDescent="0.25"/>
    <row r="117" spans="6:7" x14ac:dyDescent="0.25"/>
    <row r="118" spans="6:7" x14ac:dyDescent="0.25"/>
    <row r="119" spans="6:7" x14ac:dyDescent="0.25"/>
    <row r="120" spans="6:7" x14ac:dyDescent="0.25"/>
    <row r="121" spans="6:7" x14ac:dyDescent="0.25"/>
    <row r="122" spans="6:7" x14ac:dyDescent="0.25"/>
    <row r="123" spans="6:7" x14ac:dyDescent="0.25"/>
    <row r="124" spans="6:7" x14ac:dyDescent="0.25"/>
    <row r="125" spans="6:7" x14ac:dyDescent="0.25"/>
    <row r="126" spans="6:7" x14ac:dyDescent="0.25"/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  <row r="501" spans="6:7" x14ac:dyDescent="0.25"/>
    <row r="502" spans="6:7" x14ac:dyDescent="0.25"/>
    <row r="503" spans="6:7" x14ac:dyDescent="0.25"/>
    <row r="504" spans="6:7" x14ac:dyDescent="0.25"/>
    <row r="505" spans="6:7" x14ac:dyDescent="0.25"/>
    <row r="506" spans="6:7" x14ac:dyDescent="0.25"/>
    <row r="507" spans="6:7" x14ac:dyDescent="0.25"/>
    <row r="508" spans="6:7" x14ac:dyDescent="0.25"/>
    <row r="509" spans="6:7" x14ac:dyDescent="0.25"/>
    <row r="510" spans="6:7" x14ac:dyDescent="0.25"/>
    <row r="511" spans="6:7" x14ac:dyDescent="0.25"/>
    <row r="512" spans="6:7" x14ac:dyDescent="0.25"/>
    <row r="513" spans="6:7" x14ac:dyDescent="0.25"/>
    <row r="514" spans="6:7" x14ac:dyDescent="0.25"/>
    <row r="515" spans="6:7" x14ac:dyDescent="0.25"/>
    <row r="516" spans="6:7" x14ac:dyDescent="0.25"/>
    <row r="517" spans="6:7" x14ac:dyDescent="0.25"/>
    <row r="518" spans="6:7" x14ac:dyDescent="0.25"/>
    <row r="519" spans="6:7" x14ac:dyDescent="0.25"/>
    <row r="520" spans="6:7" x14ac:dyDescent="0.25"/>
    <row r="521" spans="6:7" x14ac:dyDescent="0.25"/>
    <row r="522" spans="6:7" x14ac:dyDescent="0.25"/>
    <row r="523" spans="6:7" x14ac:dyDescent="0.25"/>
    <row r="524" spans="6:7" x14ac:dyDescent="0.25"/>
    <row r="525" spans="6:7" x14ac:dyDescent="0.25"/>
    <row r="526" spans="6:7" x14ac:dyDescent="0.25"/>
    <row r="527" spans="6:7" x14ac:dyDescent="0.25"/>
    <row r="528" spans="6:7" x14ac:dyDescent="0.25"/>
    <row r="529" spans="6:7" x14ac:dyDescent="0.25"/>
    <row r="530" spans="6:7" x14ac:dyDescent="0.25"/>
    <row r="531" spans="6:7" x14ac:dyDescent="0.25"/>
    <row r="532" spans="6:7" x14ac:dyDescent="0.25"/>
    <row r="533" spans="6:7" x14ac:dyDescent="0.25"/>
    <row r="534" spans="6:7" x14ac:dyDescent="0.25"/>
    <row r="535" spans="6:7" x14ac:dyDescent="0.25"/>
    <row r="536" spans="6:7" x14ac:dyDescent="0.25"/>
    <row r="537" spans="6:7" x14ac:dyDescent="0.25"/>
    <row r="538" spans="6:7" x14ac:dyDescent="0.25"/>
    <row r="539" spans="6:7" x14ac:dyDescent="0.25"/>
    <row r="540" spans="6:7" x14ac:dyDescent="0.25"/>
    <row r="541" spans="6:7" x14ac:dyDescent="0.25"/>
    <row r="542" spans="6:7" x14ac:dyDescent="0.25"/>
    <row r="543" spans="6:7" x14ac:dyDescent="0.25"/>
    <row r="544" spans="6:7" x14ac:dyDescent="0.25"/>
    <row r="545" spans="6:7" x14ac:dyDescent="0.25"/>
    <row r="546" spans="6:7" x14ac:dyDescent="0.25"/>
    <row r="547" spans="6:7" x14ac:dyDescent="0.25"/>
    <row r="548" spans="6:7" x14ac:dyDescent="0.25"/>
    <row r="549" spans="6:7" x14ac:dyDescent="0.25"/>
    <row r="550" spans="6:7" x14ac:dyDescent="0.25"/>
    <row r="551" spans="6:7" x14ac:dyDescent="0.25"/>
    <row r="552" spans="6:7" x14ac:dyDescent="0.25"/>
    <row r="553" spans="6:7" x14ac:dyDescent="0.25"/>
    <row r="554" spans="6:7" x14ac:dyDescent="0.25"/>
    <row r="555" spans="6:7" x14ac:dyDescent="0.25"/>
    <row r="556" spans="6:7" x14ac:dyDescent="0.25"/>
    <row r="557" spans="6:7" x14ac:dyDescent="0.25"/>
    <row r="558" spans="6:7" x14ac:dyDescent="0.25"/>
    <row r="559" spans="6:7" x14ac:dyDescent="0.25"/>
    <row r="560" spans="6:7" x14ac:dyDescent="0.25"/>
    <row r="561" spans="6:7" x14ac:dyDescent="0.25"/>
    <row r="562" spans="6:7" x14ac:dyDescent="0.25"/>
    <row r="563" spans="6:7" x14ac:dyDescent="0.25"/>
    <row r="564" spans="6:7" x14ac:dyDescent="0.25"/>
    <row r="565" spans="6:7" x14ac:dyDescent="0.25"/>
    <row r="566" spans="6:7" x14ac:dyDescent="0.25"/>
    <row r="567" spans="6:7" x14ac:dyDescent="0.25"/>
    <row r="568" spans="6:7" x14ac:dyDescent="0.25"/>
    <row r="569" spans="6:7" x14ac:dyDescent="0.25"/>
    <row r="570" spans="6:7" x14ac:dyDescent="0.25"/>
    <row r="571" spans="6:7" x14ac:dyDescent="0.25"/>
    <row r="572" spans="6:7" x14ac:dyDescent="0.25"/>
    <row r="573" spans="6:7" x14ac:dyDescent="0.25"/>
    <row r="574" spans="6:7" x14ac:dyDescent="0.25"/>
    <row r="575" spans="6:7" x14ac:dyDescent="0.25"/>
    <row r="576" spans="6:7" x14ac:dyDescent="0.25"/>
    <row r="577" spans="6:7" x14ac:dyDescent="0.25"/>
    <row r="578" spans="6:7" x14ac:dyDescent="0.25"/>
    <row r="579" spans="6:7" x14ac:dyDescent="0.25"/>
    <row r="580" spans="6:7" x14ac:dyDescent="0.25"/>
    <row r="581" spans="6:7" x14ac:dyDescent="0.25"/>
    <row r="582" spans="6:7" x14ac:dyDescent="0.25"/>
    <row r="583" spans="6:7" x14ac:dyDescent="0.25"/>
    <row r="584" spans="6:7" x14ac:dyDescent="0.25"/>
    <row r="585" spans="6:7" x14ac:dyDescent="0.25"/>
    <row r="586" spans="6:7" x14ac:dyDescent="0.25"/>
    <row r="587" spans="6:7" x14ac:dyDescent="0.25"/>
    <row r="588" spans="6:7" x14ac:dyDescent="0.25"/>
    <row r="589" spans="6:7" x14ac:dyDescent="0.25"/>
    <row r="590" spans="6:7" x14ac:dyDescent="0.25"/>
    <row r="591" spans="6:7" x14ac:dyDescent="0.25"/>
    <row r="592" spans="6:7" x14ac:dyDescent="0.25"/>
    <row r="593" spans="6:7" x14ac:dyDescent="0.25"/>
    <row r="594" spans="6:7" x14ac:dyDescent="0.25"/>
    <row r="595" spans="6:7" x14ac:dyDescent="0.25"/>
    <row r="596" spans="6:7" x14ac:dyDescent="0.25"/>
    <row r="597" spans="6:7" x14ac:dyDescent="0.25"/>
    <row r="598" spans="6:7" x14ac:dyDescent="0.25"/>
    <row r="599" spans="6:7" x14ac:dyDescent="0.25"/>
    <row r="600" spans="6:7" x14ac:dyDescent="0.25"/>
    <row r="601" spans="6:7" x14ac:dyDescent="0.25"/>
    <row r="602" spans="6:7" x14ac:dyDescent="0.25"/>
    <row r="603" spans="6:7" x14ac:dyDescent="0.25"/>
    <row r="604" spans="6:7" x14ac:dyDescent="0.25"/>
    <row r="605" spans="6:7" x14ac:dyDescent="0.25"/>
    <row r="606" spans="6:7" x14ac:dyDescent="0.25"/>
    <row r="607" spans="6:7" x14ac:dyDescent="0.25"/>
    <row r="608" spans="6:7" x14ac:dyDescent="0.25"/>
    <row r="609" spans="6:7" x14ac:dyDescent="0.25"/>
    <row r="610" spans="6:7" x14ac:dyDescent="0.25"/>
    <row r="611" spans="6:7" x14ac:dyDescent="0.25"/>
    <row r="612" spans="6:7" x14ac:dyDescent="0.25"/>
    <row r="613" spans="6:7" x14ac:dyDescent="0.25"/>
    <row r="614" spans="6:7" x14ac:dyDescent="0.25"/>
    <row r="615" spans="6:7" x14ac:dyDescent="0.25"/>
    <row r="616" spans="6:7" x14ac:dyDescent="0.25"/>
    <row r="617" spans="6:7" x14ac:dyDescent="0.25"/>
    <row r="618" spans="6:7" x14ac:dyDescent="0.25"/>
    <row r="619" spans="6:7" x14ac:dyDescent="0.25"/>
    <row r="620" spans="6:7" x14ac:dyDescent="0.25"/>
    <row r="621" spans="6:7" x14ac:dyDescent="0.25"/>
    <row r="622" spans="6:7" x14ac:dyDescent="0.25"/>
    <row r="623" spans="6:7" x14ac:dyDescent="0.25"/>
    <row r="624" spans="6:7" x14ac:dyDescent="0.25"/>
    <row r="625" spans="6:7" x14ac:dyDescent="0.25"/>
    <row r="626" spans="6:7" x14ac:dyDescent="0.25"/>
    <row r="627" spans="6:7" x14ac:dyDescent="0.25"/>
    <row r="628" spans="6:7" x14ac:dyDescent="0.25"/>
    <row r="629" spans="6:7" x14ac:dyDescent="0.25"/>
    <row r="630" spans="6:7" x14ac:dyDescent="0.25"/>
    <row r="631" spans="6:7" x14ac:dyDescent="0.25"/>
    <row r="632" spans="6:7" x14ac:dyDescent="0.25"/>
    <row r="633" spans="6:7" x14ac:dyDescent="0.25"/>
    <row r="634" spans="6:7" x14ac:dyDescent="0.25"/>
    <row r="635" spans="6:7" x14ac:dyDescent="0.25"/>
    <row r="636" spans="6:7" x14ac:dyDescent="0.25"/>
    <row r="637" spans="6:7" x14ac:dyDescent="0.25"/>
    <row r="638" spans="6:7" x14ac:dyDescent="0.25"/>
    <row r="639" spans="6:7" x14ac:dyDescent="0.25"/>
    <row r="640" spans="6:7" x14ac:dyDescent="0.25"/>
    <row r="641" spans="6:7" x14ac:dyDescent="0.25"/>
    <row r="642" spans="6:7" x14ac:dyDescent="0.25"/>
    <row r="643" spans="6:7" x14ac:dyDescent="0.25"/>
    <row r="644" spans="6:7" x14ac:dyDescent="0.25"/>
    <row r="645" spans="6:7" x14ac:dyDescent="0.25"/>
    <row r="646" spans="6:7" x14ac:dyDescent="0.25"/>
    <row r="647" spans="6:7" x14ac:dyDescent="0.25"/>
    <row r="648" spans="6:7" x14ac:dyDescent="0.25"/>
    <row r="649" spans="6:7" x14ac:dyDescent="0.25"/>
    <row r="650" spans="6:7" x14ac:dyDescent="0.25"/>
    <row r="651" spans="6:7" x14ac:dyDescent="0.25"/>
    <row r="652" spans="6:7" x14ac:dyDescent="0.25"/>
    <row r="653" spans="6:7" x14ac:dyDescent="0.25"/>
    <row r="654" spans="6:7" x14ac:dyDescent="0.25"/>
    <row r="655" spans="6:7" x14ac:dyDescent="0.25"/>
    <row r="656" spans="6:7" x14ac:dyDescent="0.25"/>
    <row r="657" spans="6:7" x14ac:dyDescent="0.25"/>
    <row r="658" spans="6:7" x14ac:dyDescent="0.25"/>
    <row r="659" spans="6:7" x14ac:dyDescent="0.25"/>
    <row r="660" spans="6:7" x14ac:dyDescent="0.25"/>
    <row r="661" spans="6:7" x14ac:dyDescent="0.25"/>
    <row r="662" spans="6:7" x14ac:dyDescent="0.25"/>
    <row r="663" spans="6:7" x14ac:dyDescent="0.25"/>
    <row r="664" spans="6:7" x14ac:dyDescent="0.25"/>
    <row r="665" spans="6:7" x14ac:dyDescent="0.25"/>
    <row r="666" spans="6:7" x14ac:dyDescent="0.25"/>
    <row r="667" spans="6:7" x14ac:dyDescent="0.25"/>
    <row r="668" spans="6:7" x14ac:dyDescent="0.25"/>
    <row r="669" spans="6:7" x14ac:dyDescent="0.25"/>
    <row r="670" spans="6:7" x14ac:dyDescent="0.25"/>
    <row r="671" spans="6:7" x14ac:dyDescent="0.25"/>
    <row r="672" spans="6:7" x14ac:dyDescent="0.25"/>
    <row r="673" spans="6:7" x14ac:dyDescent="0.25"/>
    <row r="674" spans="6:7" x14ac:dyDescent="0.25"/>
    <row r="675" spans="6:7" x14ac:dyDescent="0.25"/>
    <row r="676" spans="6:7" x14ac:dyDescent="0.25"/>
    <row r="677" spans="6:7" x14ac:dyDescent="0.25"/>
    <row r="678" spans="6:7" x14ac:dyDescent="0.25"/>
    <row r="679" spans="6:7" x14ac:dyDescent="0.25"/>
    <row r="680" spans="6:7" x14ac:dyDescent="0.25"/>
    <row r="681" spans="6:7" x14ac:dyDescent="0.25"/>
    <row r="682" spans="6:7" x14ac:dyDescent="0.25"/>
    <row r="683" spans="6:7" x14ac:dyDescent="0.25"/>
    <row r="684" spans="6:7" x14ac:dyDescent="0.25"/>
    <row r="685" spans="6:7" x14ac:dyDescent="0.25"/>
    <row r="686" spans="6:7" x14ac:dyDescent="0.25"/>
    <row r="687" spans="6:7" x14ac:dyDescent="0.25"/>
    <row r="688" spans="6:7" x14ac:dyDescent="0.25"/>
    <row r="689" spans="6:7" x14ac:dyDescent="0.25"/>
    <row r="690" spans="6:7" x14ac:dyDescent="0.25"/>
    <row r="691" spans="6:7" x14ac:dyDescent="0.25"/>
    <row r="692" spans="6:7" x14ac:dyDescent="0.25"/>
    <row r="693" spans="6:7" x14ac:dyDescent="0.25"/>
    <row r="694" spans="6:7" x14ac:dyDescent="0.25"/>
    <row r="695" spans="6:7" x14ac:dyDescent="0.25"/>
    <row r="696" spans="6:7" x14ac:dyDescent="0.25"/>
    <row r="697" spans="6:7" x14ac:dyDescent="0.25"/>
    <row r="698" spans="6:7" x14ac:dyDescent="0.25"/>
    <row r="699" spans="6:7" x14ac:dyDescent="0.25"/>
    <row r="700" spans="6:7" x14ac:dyDescent="0.25"/>
    <row r="701" spans="6:7" x14ac:dyDescent="0.25"/>
    <row r="702" spans="6:7" x14ac:dyDescent="0.25"/>
    <row r="703" spans="6:7" x14ac:dyDescent="0.25"/>
    <row r="704" spans="6:7" x14ac:dyDescent="0.25"/>
    <row r="705" spans="6:7" x14ac:dyDescent="0.25"/>
    <row r="706" spans="6:7" x14ac:dyDescent="0.25"/>
    <row r="707" spans="6:7" x14ac:dyDescent="0.25"/>
    <row r="708" spans="6:7" x14ac:dyDescent="0.25"/>
    <row r="709" spans="6:7" x14ac:dyDescent="0.25"/>
    <row r="710" spans="6:7" x14ac:dyDescent="0.25"/>
    <row r="711" spans="6:7" x14ac:dyDescent="0.25"/>
    <row r="712" spans="6:7" x14ac:dyDescent="0.25"/>
    <row r="713" spans="6:7" x14ac:dyDescent="0.25"/>
    <row r="714" spans="6:7" x14ac:dyDescent="0.25"/>
    <row r="715" spans="6:7" x14ac:dyDescent="0.25"/>
    <row r="716" spans="6:7" x14ac:dyDescent="0.25"/>
    <row r="717" spans="6:7" x14ac:dyDescent="0.25"/>
    <row r="718" spans="6:7" x14ac:dyDescent="0.25"/>
    <row r="719" spans="6:7" x14ac:dyDescent="0.25"/>
    <row r="720" spans="6:7" x14ac:dyDescent="0.25"/>
    <row r="721" spans="6:7" x14ac:dyDescent="0.25"/>
    <row r="722" spans="6:7" x14ac:dyDescent="0.25"/>
    <row r="723" spans="6:7" x14ac:dyDescent="0.25"/>
    <row r="724" spans="6:7" x14ac:dyDescent="0.25"/>
    <row r="725" spans="6:7" x14ac:dyDescent="0.25"/>
    <row r="726" spans="6:7" x14ac:dyDescent="0.25"/>
    <row r="727" spans="6:7" x14ac:dyDescent="0.25"/>
    <row r="728" spans="6:7" x14ac:dyDescent="0.25"/>
    <row r="729" spans="6:7" x14ac:dyDescent="0.25"/>
    <row r="730" spans="6:7" x14ac:dyDescent="0.25"/>
    <row r="731" spans="6:7" x14ac:dyDescent="0.25"/>
    <row r="732" spans="6:7" x14ac:dyDescent="0.25"/>
    <row r="733" spans="6:7" x14ac:dyDescent="0.25"/>
    <row r="734" spans="6:7" x14ac:dyDescent="0.25"/>
    <row r="735" spans="6:7" x14ac:dyDescent="0.25"/>
    <row r="736" spans="6:7" x14ac:dyDescent="0.25"/>
    <row r="737" spans="6:7" x14ac:dyDescent="0.25"/>
    <row r="738" spans="6:7" x14ac:dyDescent="0.25"/>
    <row r="739" spans="6:7" x14ac:dyDescent="0.25"/>
    <row r="740" spans="6:7" x14ac:dyDescent="0.25"/>
    <row r="741" spans="6:7" x14ac:dyDescent="0.25"/>
    <row r="742" spans="6:7" x14ac:dyDescent="0.25"/>
    <row r="743" spans="6:7" x14ac:dyDescent="0.25"/>
    <row r="744" spans="6:7" x14ac:dyDescent="0.25"/>
    <row r="745" spans="6:7" x14ac:dyDescent="0.25"/>
    <row r="746" spans="6:7" x14ac:dyDescent="0.25"/>
    <row r="747" spans="6:7" x14ac:dyDescent="0.25"/>
    <row r="748" spans="6:7" x14ac:dyDescent="0.25"/>
    <row r="749" spans="6:7" x14ac:dyDescent="0.25"/>
    <row r="750" spans="6:7" x14ac:dyDescent="0.25"/>
    <row r="751" spans="6:7" x14ac:dyDescent="0.25"/>
    <row r="752" spans="6:7" x14ac:dyDescent="0.25"/>
    <row r="753" spans="6:7" x14ac:dyDescent="0.25"/>
    <row r="754" spans="6:7" x14ac:dyDescent="0.25"/>
    <row r="755" spans="6:7" x14ac:dyDescent="0.25"/>
    <row r="756" spans="6:7" x14ac:dyDescent="0.25"/>
    <row r="757" spans="6:7" x14ac:dyDescent="0.25"/>
    <row r="758" spans="6:7" x14ac:dyDescent="0.25"/>
    <row r="759" spans="6:7" x14ac:dyDescent="0.25"/>
    <row r="760" spans="6:7" x14ac:dyDescent="0.25"/>
    <row r="761" spans="6:7" x14ac:dyDescent="0.25"/>
    <row r="762" spans="6:7" x14ac:dyDescent="0.25"/>
    <row r="763" spans="6:7" x14ac:dyDescent="0.25"/>
    <row r="764" spans="6:7" x14ac:dyDescent="0.25"/>
    <row r="765" spans="6:7" x14ac:dyDescent="0.25"/>
    <row r="766" spans="6:7" x14ac:dyDescent="0.25"/>
    <row r="767" spans="6:7" x14ac:dyDescent="0.25"/>
    <row r="768" spans="6:7" x14ac:dyDescent="0.25"/>
    <row r="769" spans="6:7" x14ac:dyDescent="0.25"/>
    <row r="770" spans="6:7" x14ac:dyDescent="0.25"/>
    <row r="771" spans="6:7" x14ac:dyDescent="0.25"/>
    <row r="772" spans="6:7" x14ac:dyDescent="0.25"/>
    <row r="773" spans="6:7" x14ac:dyDescent="0.25"/>
    <row r="774" spans="6:7" x14ac:dyDescent="0.25"/>
    <row r="775" spans="6:7" x14ac:dyDescent="0.25"/>
    <row r="776" spans="6:7" x14ac:dyDescent="0.25"/>
    <row r="777" spans="6:7" x14ac:dyDescent="0.25"/>
    <row r="778" spans="6:7" x14ac:dyDescent="0.25"/>
    <row r="779" spans="6:7" x14ac:dyDescent="0.25"/>
    <row r="780" spans="6:7" x14ac:dyDescent="0.25"/>
    <row r="781" spans="6:7" x14ac:dyDescent="0.25"/>
    <row r="782" spans="6:7" x14ac:dyDescent="0.25"/>
    <row r="783" spans="6:7" x14ac:dyDescent="0.25"/>
    <row r="784" spans="6:7" x14ac:dyDescent="0.25"/>
    <row r="785" spans="6:7" x14ac:dyDescent="0.25"/>
    <row r="786" spans="6:7" x14ac:dyDescent="0.25"/>
    <row r="787" spans="6:7" x14ac:dyDescent="0.25"/>
    <row r="788" spans="6:7" x14ac:dyDescent="0.25"/>
    <row r="789" spans="6:7" x14ac:dyDescent="0.25"/>
    <row r="790" spans="6:7" x14ac:dyDescent="0.25"/>
    <row r="791" spans="6:7" x14ac:dyDescent="0.25"/>
    <row r="792" spans="6:7" x14ac:dyDescent="0.25"/>
    <row r="793" spans="6:7" x14ac:dyDescent="0.25"/>
    <row r="794" spans="6:7" x14ac:dyDescent="0.25"/>
    <row r="795" spans="6:7" x14ac:dyDescent="0.25"/>
    <row r="796" spans="6:7" x14ac:dyDescent="0.25"/>
    <row r="797" spans="6:7" x14ac:dyDescent="0.25"/>
    <row r="798" spans="6:7" x14ac:dyDescent="0.25"/>
    <row r="799" spans="6:7" x14ac:dyDescent="0.25"/>
    <row r="800" spans="6:7" x14ac:dyDescent="0.25"/>
    <row r="801" spans="6:7" x14ac:dyDescent="0.25"/>
    <row r="802" spans="6:7" x14ac:dyDescent="0.25"/>
    <row r="803" spans="6:7" x14ac:dyDescent="0.25"/>
    <row r="804" spans="6:7" x14ac:dyDescent="0.25"/>
    <row r="805" spans="6:7" x14ac:dyDescent="0.25"/>
    <row r="806" spans="6:7" x14ac:dyDescent="0.25"/>
    <row r="807" spans="6:7" x14ac:dyDescent="0.25"/>
    <row r="808" spans="6:7" x14ac:dyDescent="0.25"/>
    <row r="809" spans="6:7" x14ac:dyDescent="0.25"/>
    <row r="810" spans="6:7" x14ac:dyDescent="0.25"/>
    <row r="811" spans="6:7" x14ac:dyDescent="0.25"/>
    <row r="812" spans="6:7" x14ac:dyDescent="0.25"/>
    <row r="813" spans="6:7" x14ac:dyDescent="0.25"/>
    <row r="814" spans="6:7" x14ac:dyDescent="0.25"/>
    <row r="815" spans="6:7" x14ac:dyDescent="0.25"/>
    <row r="816" spans="6:7" x14ac:dyDescent="0.25"/>
    <row r="817" spans="6:7" x14ac:dyDescent="0.25"/>
    <row r="818" spans="6:7" x14ac:dyDescent="0.25"/>
    <row r="819" spans="6:7" x14ac:dyDescent="0.25"/>
    <row r="820" spans="6:7" x14ac:dyDescent="0.25"/>
    <row r="821" spans="6:7" x14ac:dyDescent="0.25"/>
    <row r="822" spans="6:7" x14ac:dyDescent="0.25"/>
    <row r="823" spans="6:7" x14ac:dyDescent="0.25"/>
    <row r="824" spans="6:7" x14ac:dyDescent="0.25"/>
    <row r="825" spans="6:7" x14ac:dyDescent="0.25"/>
    <row r="826" spans="6:7" x14ac:dyDescent="0.25"/>
    <row r="827" spans="6:7" x14ac:dyDescent="0.25"/>
    <row r="828" spans="6:7" x14ac:dyDescent="0.25"/>
    <row r="829" spans="6:7" x14ac:dyDescent="0.25"/>
    <row r="830" spans="6:7" x14ac:dyDescent="0.25"/>
    <row r="831" spans="6:7" x14ac:dyDescent="0.25"/>
    <row r="832" spans="6:7" x14ac:dyDescent="0.25"/>
    <row r="833" spans="6:7" x14ac:dyDescent="0.25"/>
    <row r="834" spans="6:7" x14ac:dyDescent="0.25"/>
    <row r="835" spans="6:7" x14ac:dyDescent="0.25"/>
    <row r="836" spans="6:7" x14ac:dyDescent="0.25"/>
    <row r="837" spans="6:7" x14ac:dyDescent="0.25"/>
    <row r="838" spans="6:7" x14ac:dyDescent="0.25"/>
    <row r="839" spans="6:7" x14ac:dyDescent="0.25"/>
    <row r="840" spans="6:7" x14ac:dyDescent="0.25"/>
    <row r="841" spans="6:7" x14ac:dyDescent="0.25"/>
    <row r="842" spans="6:7" x14ac:dyDescent="0.25"/>
    <row r="843" spans="6:7" x14ac:dyDescent="0.25"/>
    <row r="844" spans="6:7" x14ac:dyDescent="0.25"/>
    <row r="845" spans="6:7" x14ac:dyDescent="0.25"/>
    <row r="846" spans="6:7" x14ac:dyDescent="0.25"/>
    <row r="847" spans="6:7" x14ac:dyDescent="0.25"/>
    <row r="848" spans="6:7" x14ac:dyDescent="0.25"/>
    <row r="849" spans="6:7" x14ac:dyDescent="0.25"/>
    <row r="850" spans="6:7" x14ac:dyDescent="0.25"/>
    <row r="851" spans="6:7" x14ac:dyDescent="0.25"/>
    <row r="852" spans="6:7" x14ac:dyDescent="0.25"/>
    <row r="853" spans="6:7" x14ac:dyDescent="0.25"/>
    <row r="854" spans="6:7" x14ac:dyDescent="0.25"/>
    <row r="855" spans="6:7" x14ac:dyDescent="0.25"/>
    <row r="856" spans="6:7" x14ac:dyDescent="0.25"/>
    <row r="857" spans="6:7" x14ac:dyDescent="0.25"/>
    <row r="858" spans="6:7" x14ac:dyDescent="0.25"/>
    <row r="859" spans="6:7" x14ac:dyDescent="0.25"/>
    <row r="860" spans="6:7" x14ac:dyDescent="0.25"/>
    <row r="861" spans="6:7" x14ac:dyDescent="0.25"/>
    <row r="862" spans="6:7" x14ac:dyDescent="0.25"/>
    <row r="863" spans="6:7" x14ac:dyDescent="0.25"/>
    <row r="864" spans="6:7" x14ac:dyDescent="0.25"/>
    <row r="865" spans="6:7" x14ac:dyDescent="0.25"/>
    <row r="866" spans="6:7" x14ac:dyDescent="0.25"/>
    <row r="867" spans="6:7" x14ac:dyDescent="0.25"/>
    <row r="868" spans="6:7" x14ac:dyDescent="0.25"/>
    <row r="869" spans="6:7" x14ac:dyDescent="0.25"/>
    <row r="870" spans="6:7" x14ac:dyDescent="0.25"/>
    <row r="871" spans="6:7" x14ac:dyDescent="0.25"/>
    <row r="872" spans="6:7" x14ac:dyDescent="0.25"/>
    <row r="873" spans="6:7" x14ac:dyDescent="0.25"/>
    <row r="874" spans="6:7" x14ac:dyDescent="0.25"/>
    <row r="875" spans="6:7" x14ac:dyDescent="0.25"/>
    <row r="876" spans="6:7" x14ac:dyDescent="0.25"/>
    <row r="877" spans="6:7" x14ac:dyDescent="0.25"/>
    <row r="878" spans="6:7" x14ac:dyDescent="0.25"/>
    <row r="879" spans="6:7" x14ac:dyDescent="0.25"/>
    <row r="880" spans="6:7" x14ac:dyDescent="0.25"/>
    <row r="881" spans="6:7" x14ac:dyDescent="0.25"/>
    <row r="882" spans="6:7" x14ac:dyDescent="0.25"/>
    <row r="883" spans="6:7" x14ac:dyDescent="0.25"/>
    <row r="884" spans="6:7" x14ac:dyDescent="0.25"/>
    <row r="885" spans="6:7" x14ac:dyDescent="0.25"/>
    <row r="886" spans="6:7" x14ac:dyDescent="0.25"/>
    <row r="887" spans="6:7" x14ac:dyDescent="0.25"/>
    <row r="888" spans="6:7" x14ac:dyDescent="0.25"/>
    <row r="889" spans="6:7" x14ac:dyDescent="0.25"/>
    <row r="890" spans="6:7" x14ac:dyDescent="0.25"/>
    <row r="891" spans="6:7" x14ac:dyDescent="0.25"/>
    <row r="892" spans="6:7" x14ac:dyDescent="0.25"/>
    <row r="893" spans="6:7" x14ac:dyDescent="0.25"/>
    <row r="894" spans="6:7" x14ac:dyDescent="0.25"/>
    <row r="895" spans="6:7" x14ac:dyDescent="0.25"/>
    <row r="896" spans="6:7" x14ac:dyDescent="0.25"/>
    <row r="897" spans="6:7" x14ac:dyDescent="0.25"/>
    <row r="898" spans="6:7" x14ac:dyDescent="0.25"/>
    <row r="899" spans="6:7" x14ac:dyDescent="0.25"/>
    <row r="900" spans="6:7" x14ac:dyDescent="0.25"/>
    <row r="901" spans="6:7" x14ac:dyDescent="0.25"/>
    <row r="902" spans="6:7" x14ac:dyDescent="0.25"/>
    <row r="903" spans="6:7" x14ac:dyDescent="0.25"/>
    <row r="904" spans="6:7" x14ac:dyDescent="0.25"/>
    <row r="905" spans="6:7" x14ac:dyDescent="0.25"/>
    <row r="906" spans="6:7" x14ac:dyDescent="0.25"/>
    <row r="907" spans="6:7" x14ac:dyDescent="0.25"/>
    <row r="908" spans="6:7" x14ac:dyDescent="0.25"/>
    <row r="909" spans="6:7" x14ac:dyDescent="0.25"/>
    <row r="910" spans="6:7" x14ac:dyDescent="0.25"/>
    <row r="911" spans="6:7" x14ac:dyDescent="0.25"/>
    <row r="912" spans="6:7" x14ac:dyDescent="0.25"/>
    <row r="913" spans="6:7" x14ac:dyDescent="0.25"/>
    <row r="914" spans="6:7" x14ac:dyDescent="0.25"/>
    <row r="915" spans="6:7" x14ac:dyDescent="0.25"/>
    <row r="916" spans="6:7" x14ac:dyDescent="0.25"/>
    <row r="917" spans="6:7" x14ac:dyDescent="0.25"/>
    <row r="918" spans="6:7" x14ac:dyDescent="0.25"/>
    <row r="919" spans="6:7" x14ac:dyDescent="0.25"/>
    <row r="920" spans="6:7" x14ac:dyDescent="0.25"/>
    <row r="921" spans="6:7" x14ac:dyDescent="0.25"/>
    <row r="922" spans="6:7" x14ac:dyDescent="0.25"/>
    <row r="923" spans="6:7" x14ac:dyDescent="0.25"/>
    <row r="924" spans="6:7" x14ac:dyDescent="0.25"/>
    <row r="925" spans="6:7" x14ac:dyDescent="0.25"/>
    <row r="926" spans="6:7" x14ac:dyDescent="0.25"/>
    <row r="927" spans="6:7" x14ac:dyDescent="0.25"/>
    <row r="928" spans="6:7" x14ac:dyDescent="0.25"/>
    <row r="929" spans="6:7" x14ac:dyDescent="0.25"/>
    <row r="930" spans="6:7" x14ac:dyDescent="0.25"/>
    <row r="931" spans="6:7" x14ac:dyDescent="0.25"/>
    <row r="932" spans="6:7" x14ac:dyDescent="0.25"/>
    <row r="933" spans="6:7" x14ac:dyDescent="0.25"/>
    <row r="934" spans="6:7" x14ac:dyDescent="0.25"/>
    <row r="935" spans="6:7" x14ac:dyDescent="0.25"/>
    <row r="936" spans="6:7" x14ac:dyDescent="0.25"/>
    <row r="937" spans="6:7" x14ac:dyDescent="0.25"/>
    <row r="938" spans="6:7" x14ac:dyDescent="0.25"/>
    <row r="939" spans="6:7" x14ac:dyDescent="0.25"/>
    <row r="940" spans="6:7" x14ac:dyDescent="0.25"/>
    <row r="941" spans="6:7" x14ac:dyDescent="0.25"/>
    <row r="942" spans="6:7" x14ac:dyDescent="0.25"/>
    <row r="943" spans="6:7" x14ac:dyDescent="0.25"/>
    <row r="944" spans="6:7" x14ac:dyDescent="0.25"/>
    <row r="945" spans="6:7" x14ac:dyDescent="0.25"/>
    <row r="946" spans="6:7" x14ac:dyDescent="0.25"/>
    <row r="947" spans="6:7" x14ac:dyDescent="0.25"/>
    <row r="948" spans="6:7" x14ac:dyDescent="0.25"/>
    <row r="949" spans="6:7" x14ac:dyDescent="0.25"/>
    <row r="950" spans="6:7" x14ac:dyDescent="0.25"/>
    <row r="951" spans="6:7" x14ac:dyDescent="0.25"/>
    <row r="952" spans="6:7" x14ac:dyDescent="0.25"/>
    <row r="953" spans="6:7" x14ac:dyDescent="0.25"/>
    <row r="954" spans="6:7" x14ac:dyDescent="0.25"/>
    <row r="955" spans="6:7" x14ac:dyDescent="0.25"/>
    <row r="956" spans="6:7" x14ac:dyDescent="0.25"/>
    <row r="957" spans="6:7" x14ac:dyDescent="0.25"/>
    <row r="958" spans="6:7" x14ac:dyDescent="0.25"/>
    <row r="959" spans="6:7" x14ac:dyDescent="0.25"/>
    <row r="960" spans="6:7" x14ac:dyDescent="0.25"/>
    <row r="961" spans="6:7" x14ac:dyDescent="0.25"/>
    <row r="962" spans="6:7" x14ac:dyDescent="0.25"/>
    <row r="963" spans="6:7" x14ac:dyDescent="0.25"/>
    <row r="964" spans="6:7" x14ac:dyDescent="0.25"/>
    <row r="965" spans="6:7" x14ac:dyDescent="0.25"/>
    <row r="966" spans="6:7" x14ac:dyDescent="0.25"/>
    <row r="967" spans="6:7" x14ac:dyDescent="0.25"/>
    <row r="968" spans="6:7" x14ac:dyDescent="0.25"/>
    <row r="969" spans="6:7" x14ac:dyDescent="0.25"/>
    <row r="970" spans="6:7" x14ac:dyDescent="0.25"/>
    <row r="971" spans="6:7" x14ac:dyDescent="0.25"/>
    <row r="972" spans="6:7" x14ac:dyDescent="0.25"/>
    <row r="973" spans="6:7" x14ac:dyDescent="0.25"/>
    <row r="974" spans="6:7" x14ac:dyDescent="0.25"/>
    <row r="975" spans="6:7" x14ac:dyDescent="0.25"/>
    <row r="976" spans="6:7" x14ac:dyDescent="0.25"/>
    <row r="977" spans="6:7" x14ac:dyDescent="0.25"/>
    <row r="978" spans="6:7" x14ac:dyDescent="0.25"/>
    <row r="979" spans="6:7" x14ac:dyDescent="0.25"/>
    <row r="980" spans="6:7" x14ac:dyDescent="0.25"/>
    <row r="981" spans="6:7" x14ac:dyDescent="0.25"/>
    <row r="982" spans="6:7" x14ac:dyDescent="0.25"/>
    <row r="983" spans="6:7" x14ac:dyDescent="0.25"/>
    <row r="984" spans="6:7" x14ac:dyDescent="0.25"/>
    <row r="985" spans="6:7" x14ac:dyDescent="0.25"/>
    <row r="986" spans="6:7" x14ac:dyDescent="0.25"/>
    <row r="987" spans="6:7" x14ac:dyDescent="0.25"/>
    <row r="988" spans="6:7" x14ac:dyDescent="0.25"/>
    <row r="989" spans="6:7" x14ac:dyDescent="0.25"/>
    <row r="990" spans="6:7" x14ac:dyDescent="0.25"/>
    <row r="991" spans="6:7" x14ac:dyDescent="0.25"/>
    <row r="992" spans="6:7" x14ac:dyDescent="0.25"/>
    <row r="993" spans="6:7" x14ac:dyDescent="0.25"/>
    <row r="994" spans="6:7" x14ac:dyDescent="0.25"/>
    <row r="995" spans="6:7" x14ac:dyDescent="0.25"/>
    <row r="996" spans="6:7" x14ac:dyDescent="0.25"/>
    <row r="997" spans="6:7" x14ac:dyDescent="0.25"/>
    <row r="998" spans="6:7" x14ac:dyDescent="0.25"/>
    <row r="999" spans="6:7" x14ac:dyDescent="0.25"/>
    <row r="1000" spans="6:7" x14ac:dyDescent="0.25"/>
  </sheetData>
  <dataValidations count="4">
    <dataValidation type="list" allowBlank="1" sqref="F10:F1000">
      <formula1>"Binance,Otro"</formula1>
    </dataValidation>
    <dataValidation type="list" allowBlank="1" sqref="F2:F1000">
      <formula1>"Binance,Otro"</formula1>
    </dataValidation>
    <dataValidation type="list" allowBlank="1" sqref="G10:G1000">
      <formula1>"Banesco Panamá,USDT directo"</formula1>
    </dataValidation>
    <dataValidation type="list" allowBlank="1" sqref="G2:G1000">
      <formula1>"Banesco Panamá,USDT directo"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0" customWidth="1"/>
    <col min="3" max="3" width="20" customWidth="1"/>
    <col min="4" max="4" width="14" customWidth="1"/>
    <col min="5" max="5" width="18" customWidth="1"/>
  </cols>
  <sheetData>
    <row r="1" spans="1:7" x14ac:dyDescent="0.25">
      <c r="A1" s="1" t="s">
        <v>62</v>
      </c>
      <c r="B1" s="1" t="s">
        <v>63</v>
      </c>
      <c r="C1" s="1" t="s">
        <v>64</v>
      </c>
      <c r="D1" s="1" t="s">
        <v>47</v>
      </c>
      <c r="E1" s="1" t="s">
        <v>65</v>
      </c>
      <c r="G1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28" customWidth="1"/>
    <col min="2" max="5" width="16" customWidth="1"/>
  </cols>
  <sheetData>
    <row r="1" spans="1:1" x14ac:dyDescent="0.25">
      <c r="A1" s="6" t="s">
        <v>67</v>
      </c>
    </row>
    <row r="3" spans="1:1" x14ac:dyDescent="0.25">
      <c r="A3" s="7" t="s">
        <v>68</v>
      </c>
    </row>
    <row r="4" spans="1:5" x14ac:dyDescent="0.25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</row>
    <row r="5" spans="1:5" x14ac:dyDescent="0.25">
      <c r="A5" s="4" t="s">
        <v>3</v>
      </c>
      <c r="B5" s="9">
        <f>SUMIFS(Movimientos!$F:$F,Movimientos!$C:$C,"admin",Movimientos!$D:$D,"gasto")</f>
      </c>
      <c r="C5" s="9">
        <f>SUMIFS(Movimientos!$F:$F,Movimientos!$C:$C,"admin",Movimientos!$D:$D,"ingreso")</f>
      </c>
      <c r="D5" s="9">
        <f>C5-B5</f>
      </c>
      <c r="E5" s="9">
        <f>SUMIFS(Movimientos!$H:$H,Movimientos!$C:$C,"admin",Movimientos!$D:$D,"ingreso")-SUMIFS(Movimientos!$H:$H,Movimientos!$C:$C,"admin",Movimientos!$D:$D,"gasto")</f>
      </c>
    </row>
    <row r="6" spans="1:5" x14ac:dyDescent="0.25">
      <c r="A6" s="4" t="s">
        <v>5</v>
      </c>
      <c r="B6" s="9">
        <f>SUMIFS(Movimientos!$F:$F,Movimientos!$C:$C,"pareja",Movimientos!$D:$D,"gasto")</f>
      </c>
      <c r="C6" s="9">
        <f>SUMIFS(Movimientos!$F:$F,Movimientos!$C:$C,"pareja",Movimientos!$D:$D,"ingreso")</f>
      </c>
      <c r="D6" s="9">
        <f>C6-B6</f>
      </c>
      <c r="E6" s="9">
        <f>SUMIFS(Movimientos!$H:$H,Movimientos!$C:$C,"pareja",Movimientos!$D:$D,"ingreso")-SUMIFS(Movimientos!$H:$H,Movimientos!$C:$C,"pareja",Movimientos!$D:$D,"gasto")</f>
      </c>
    </row>
    <row r="8" spans="1:1" x14ac:dyDescent="0.25">
      <c r="A8" s="7" t="s">
        <v>74</v>
      </c>
    </row>
    <row r="9" spans="1:2" x14ac:dyDescent="0.25">
      <c r="A9" s="4" t="s">
        <v>75</v>
      </c>
      <c r="B9" s="10">
        <f>SUMIFS(Movimientos!$F:$F,Movimientos!$D:$D,"ingreso")</f>
      </c>
    </row>
    <row r="10" spans="1:2" x14ac:dyDescent="0.25">
      <c r="A10" s="4" t="s">
        <v>76</v>
      </c>
      <c r="B10" s="10">
        <f>SUMIFS(Movimientos!$F:$F,Movimientos!$D:$D,"gasto")</f>
      </c>
    </row>
    <row r="11" spans="1:2" x14ac:dyDescent="0.25">
      <c r="A11" s="11" t="s">
        <v>77</v>
      </c>
      <c r="B11" s="12">
        <f>B9-B10</f>
      </c>
    </row>
    <row r="13" spans="1:1" x14ac:dyDescent="0.25">
      <c r="A13" s="7" t="s">
        <v>78</v>
      </c>
    </row>
    <row r="14" spans="1:2" x14ac:dyDescent="0.25">
      <c r="A14" s="8" t="s">
        <v>79</v>
      </c>
      <c r="B14" s="8" t="s">
        <v>80</v>
      </c>
    </row>
    <row r="15" spans="1:2" x14ac:dyDescent="0.25">
      <c r="A15" s="4" t="s">
        <v>2</v>
      </c>
      <c r="B15" s="9">
        <f>SUMIFS(Movimientos!$F:$F,Movimientos!$D:$D,"gasto",Movimientos!$E:$E,"Alimentación")</f>
      </c>
    </row>
    <row r="16" spans="1:2" x14ac:dyDescent="0.25">
      <c r="A16" s="4" t="s">
        <v>4</v>
      </c>
      <c r="B16" s="9">
        <f>SUMIFS(Movimientos!$F:$F,Movimientos!$D:$D,"gasto",Movimientos!$E:$E,"Transporte")</f>
      </c>
    </row>
    <row r="17" spans="1:2" x14ac:dyDescent="0.25">
      <c r="A17" s="4" t="s">
        <v>6</v>
      </c>
      <c r="B17" s="9">
        <f>SUMIFS(Movimientos!$F:$F,Movimientos!$D:$D,"gasto",Movimientos!$E:$E,"Servicios")</f>
      </c>
    </row>
    <row r="18" spans="1:2" x14ac:dyDescent="0.25">
      <c r="A18" s="4" t="s">
        <v>7</v>
      </c>
      <c r="B18" s="9">
        <f>SUMIFS(Movimientos!$F:$F,Movimientos!$D:$D,"gasto",Movimientos!$E:$E,"Vivienda/alquiler")</f>
      </c>
    </row>
    <row r="19" spans="1:2" x14ac:dyDescent="0.25">
      <c r="A19" s="4" t="s">
        <v>8</v>
      </c>
      <c r="B19" s="9">
        <f>SUMIFS(Movimientos!$F:$F,Movimientos!$D:$D,"gasto",Movimientos!$E:$E,"Salud")</f>
      </c>
    </row>
    <row r="20" spans="1:2" x14ac:dyDescent="0.25">
      <c r="A20" s="4" t="s">
        <v>9</v>
      </c>
      <c r="B20" s="9">
        <f>SUMIFS(Movimientos!$F:$F,Movimientos!$D:$D,"gasto",Movimientos!$E:$E,"Entretenimiento")</f>
      </c>
    </row>
    <row r="21" spans="1:2" x14ac:dyDescent="0.25">
      <c r="A21" s="4" t="s">
        <v>10</v>
      </c>
      <c r="B21" s="9">
        <f>SUMIFS(Movimientos!$F:$F,Movimientos!$D:$D,"gasto",Movimientos!$E:$E,"Cuidado personal")</f>
      </c>
    </row>
    <row r="22" spans="1:2" x14ac:dyDescent="0.25">
      <c r="A22" s="4" t="s">
        <v>11</v>
      </c>
      <c r="B22" s="9">
        <f>SUMIFS(Movimientos!$F:$F,Movimientos!$D:$D,"gasto",Movimientos!$E:$E,"Educación")</f>
      </c>
    </row>
    <row r="23" spans="1:2" x14ac:dyDescent="0.25">
      <c r="A23" s="4" t="s">
        <v>12</v>
      </c>
      <c r="B23" s="9">
        <f>SUMIFS(Movimientos!$F:$F,Movimientos!$D:$D,"gasto",Movimientos!$E:$E,"Deudas/pagos")</f>
      </c>
    </row>
    <row r="24" spans="1:2" x14ac:dyDescent="0.25">
      <c r="A24" s="4" t="s">
        <v>13</v>
      </c>
      <c r="B24" s="9">
        <f>SUMIFS(Movimientos!$F:$F,Movimientos!$D:$D,"gasto",Movimientos!$E:$E,"Mascotas")</f>
      </c>
    </row>
    <row r="25" spans="1:2" x14ac:dyDescent="0.25">
      <c r="A25" s="4" t="s">
        <v>14</v>
      </c>
      <c r="B25" s="9">
        <f>SUMIFS(Movimientos!$F:$F,Movimientos!$D:$D,"gasto",Movimientos!$E:$E,"Otros")</f>
      </c>
    </row>
    <row r="27" spans="1:1" x14ac:dyDescent="0.25">
      <c r="A27" s="7" t="s">
        <v>81</v>
      </c>
    </row>
    <row r="28" spans="1:2" x14ac:dyDescent="0.25">
      <c r="A28" s="8" t="s">
        <v>82</v>
      </c>
      <c r="B28" s="8" t="s">
        <v>83</v>
      </c>
    </row>
    <row r="29" spans="1:2" x14ac:dyDescent="0.25">
      <c r="A29" s="4" t="s">
        <v>44</v>
      </c>
      <c r="B29" s="4">
        <f>COUNTIF(Deudas!$G:$G,"pendiente")</f>
      </c>
    </row>
    <row r="30" spans="1:2" x14ac:dyDescent="0.25">
      <c r="A30" s="4" t="s">
        <v>84</v>
      </c>
      <c r="B30" s="4">
        <f>COUNTIF(Deudas!$G:$G,"pagada")</f>
      </c>
    </row>
    <row r="31" spans="1:2" x14ac:dyDescent="0.25">
      <c r="A31" s="4" t="s">
        <v>85</v>
      </c>
      <c r="B31" s="4">
        <f>COUNTIF(Deudas!$G:$G,"vencida")</f>
      </c>
    </row>
    <row r="32" spans="1:2" x14ac:dyDescent="0.25">
      <c r="A32" s="4" t="s">
        <v>86</v>
      </c>
      <c r="B32" s="4">
        <f>COUNTIF(Deudas!$G:$G,"parcial")</f>
      </c>
    </row>
    <row r="34" spans="1:2" x14ac:dyDescent="0.25">
      <c r="A34" s="4" t="s">
        <v>87</v>
      </c>
      <c r="B34" s="9">
        <f>SUMIFS(Deudas!$E:$E,Deudas!$D:$D,"Bs",Deudas!$G:$G,"pendiente")</f>
      </c>
    </row>
    <row r="35" spans="1:2" x14ac:dyDescent="0.25">
      <c r="A35" s="4" t="s">
        <v>88</v>
      </c>
      <c r="B35" s="9">
        <f>SUMIFS(Deudas!$E:$E,Deudas!$D:$D,"USD",Deudas!$G:$G,"pendiente")</f>
      </c>
    </row>
    <row r="37" spans="1:1" x14ac:dyDescent="0.25">
      <c r="A37" s="7" t="s">
        <v>89</v>
      </c>
    </row>
    <row r="38" spans="1:2" x14ac:dyDescent="0.25">
      <c r="A38" s="4" t="s">
        <v>90</v>
      </c>
      <c r="B38" s="4">
        <f>IFERROR(INDEX(Tasas_Cambio!$B:$B,MATCH(MAX(Tasas_Cambio!$A:$A),Tasas_Cambio!$A:$A,0)),"-")</f>
      </c>
    </row>
    <row r="39" spans="1:2" x14ac:dyDescent="0.25">
      <c r="A39" s="4" t="s">
        <v>91</v>
      </c>
      <c r="B39" s="4">
        <f>IFERROR(AVERAGE(Conversiones_USDT!$D:$D),"-")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Listas</vt:lpstr>
      <vt:lpstr>Movimientos</vt:lpstr>
      <vt:lpstr>Deudas</vt:lpstr>
      <vt:lpstr>Tasas_Cambio</vt:lpstr>
      <vt:lpstr>Usuarios</vt:lpstr>
      <vt:lpstr>Conversiones_USDT</vt:lpstr>
      <vt:lpstr>Push_Subscripciones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2026-07-17T19:34:47Z</dcterms:created>
  <dcterms:modified xsi:type="dcterms:W3CDTF">2026-07-17T19:34:47Z</dcterms:modified>
</cp:coreProperties>
</file>